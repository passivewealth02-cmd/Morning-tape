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.xml" ContentType="application/vnd.openxmlformats-officedocument.drawing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Brand" sheetId="3" state="visible" r:id="rId3"/>
    <sheet name="Calendar" sheetId="4" state="visible" r:id="rId4"/>
    <sheet name="Pipeline" sheetId="5" state="visible" r:id="rId5"/>
    <sheet name="Ideas" sheetId="6" state="visible" r:id="rId6"/>
    <sheet name="Performance" sheetId="7" state="visible" r:id="rId7"/>
    <sheet name="Revenue" sheetId="8" state="visible" r:id="rId8"/>
    <sheet name="Sponsorships" sheetId="9" state="visible" r:id="rId9"/>
    <sheet name="Affiliate" sheetId="10" state="visible" r:id="rId10"/>
    <sheet name="Products" sheetId="11" state="visible" r:id="rId11"/>
    <sheet name="Expenses" sheetId="12" state="visible" r:id="rId12"/>
    <sheet name="Deal Calendar" sheetId="13" state="visible" r:id="rId13"/>
    <sheet name="Goals" sheetId="14" state="visible" r:id="rId14"/>
    <sheet name="Assets" sheetId="15" state="visible" r:id="rId15"/>
    <sheet name="Accounts" sheetId="16" state="visible" r:id="rId16"/>
    <sheet name="Email List" sheetId="17" state="visible" r:id="rId17"/>
    <sheet name="Collabs" sheetId="18" state="visible" r:id="rId18"/>
    <sheet name="Launch Planner" sheetId="19" state="visible" r:id="rId19"/>
    <sheet name="Audience" sheetId="20" state="visible" r:id="rId20"/>
    <sheet name="SEO" sheetId="21" state="visible" r:id="rId21"/>
    <sheet name="Repurposing" sheetId="22" state="visible" r:id="rId22"/>
    <sheet name="Gallery" sheetId="23" state="visible" r:id="rId23"/>
    <sheet name="Analytics" sheetId="24" state="visible" r:id="rId24"/>
    <sheet name="Settings" sheetId="25" state="visible" r:id="rId25"/>
  </sheets>
  <definedNames>
    <definedName name="CreatorName">Settings!$C$6</definedName>
    <definedName name="BrandName">Settings!$C$7</definedName>
    <definedName name="PrimaryPlatform">Settings!$C$8</definedName>
    <definedName name="HomeCurr">Settings!$C$9</definedName>
    <definedName name="RevenueGoal">Settings!$C$10</definedName>
    <definedName name="ContentGoal">Settings!$C$11</definedName>
    <definedName name="DealTarget">Settings!$C$12</definedName>
    <definedName name="MarginTarget">Settings!$C$13</definedName>
    <definedName name="PlatformList">Settings!$E$7:$E$19</definedName>
    <definedName name="ContentTypeList">Settings!$F$7:$F$16</definedName>
    <definedName name="ContentStatusList">Settings!$G$7:$G$12</definedName>
    <definedName name="RevCatList">Settings!$H$7:$H$16</definedName>
    <definedName name="ExpCatList">Settings!$I$7:$I$17</definedName>
    <definedName name="CampaignList">Settings!$J$7:$J$12</definedName>
    <definedName name="GoalCatList">Settings!$K$7:$K$12</definedName>
    <definedName name="SponStageList">Settings!$L$7:$L$13</definedName>
    <definedName name="PriorityList">Settings!$E$22:$E$24</definedName>
    <definedName name="InvoiceStatusList">Settings!$F$22:$F$25</definedName>
    <definedName name="YesNoList">Settings!$G$22:$G$23</definedName>
    <definedName name="CalDate">'Calendar'!$A$5:$A$64</definedName>
    <definedName name="CalPlatform">'Calendar'!$B$5:$B$64</definedName>
    <definedName name="CalStatus">'Calendar'!$G$5:$G$64</definedName>
    <definedName name="PipeTitle">'Pipeline'!$A$5:$A$44</definedName>
    <definedName name="PipeProgress">'Pipeline'!$F$5:$F$44</definedName>
    <definedName name="PerfTitle">'Performance'!$A$5:$A$44</definedName>
    <definedName name="PerfPlatform">'Performance'!$B$5:$B$44</definedName>
    <definedName name="PerfDate">'Performance'!$C$5:$C$44</definedName>
    <definedName name="PerfViews">'Performance'!$D$5:$D$44</definedName>
    <definedName name="PlatLabel">'Performance'!$I$5:$I$11</definedName>
    <definedName name="PlatCount">'Performance'!$J$5:$J$11</definedName>
    <definedName name="RevSource">'Revenue'!$A$5:$A$14</definedName>
    <definedName name="RevMonthly">'Revenue'!$B$5:$B$14</definedName>
    <definedName name="RevenueTotal">'Revenue'!$B$15</definedName>
    <definedName name="RevSponsor">'Revenue'!$B$5</definedName>
    <definedName name="RevAffiliate">'Revenue'!$B$6</definedName>
    <definedName name="RevDigital">'Revenue'!$B$8</definedName>
    <definedName name="NetProfit">'Revenue'!$G$8</definedName>
    <definedName name="SponBrand">'Sponsorships'!$A$5:$A$34</definedName>
    <definedName name="SponRate">'Sponsorships'!$F$5:$F$34</definedName>
    <definedName name="SponStage">'Sponsorships'!$G$5:$G$34</definedName>
    <definedName name="AffRevenue">'Affiliate'!$F$5:$F$34</definedName>
    <definedName name="ProdName">'Products'!$A$5:$A$34</definedName>
    <definedName name="ProdProfit">'Products'!$G$5:$G$34</definedName>
    <definedName name="ExpCat">'Expenses'!$A$5:$A$15</definedName>
    <definedName name="ExpMonthly">'Expenses'!$B$5:$B$15</definedName>
    <definedName name="ExpenseTotal">'Expenses'!$B$16</definedName>
    <definedName name="GoalCategory">'Goals'!$B$5:$B$10</definedName>
    <definedName name="GoalProgress">'Goals'!$E$5:$E$10</definedName>
    <definedName name="HealthRange">'Analytics'!$C$7:$C$12</definedName>
    <definedName name="AudMonth">'Analytics'!$B$17:$B$22</definedName>
    <definedName name="AudVal">'Analytics'!$C$17:$C$22</definedName>
    <definedName name="AudNow">'Analytics'!$C$22</definedName>
    <definedName name="AudPrev">'Analytics'!$C$21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yyyy-mm-dd"/>
    <numFmt numFmtId="166" formatCode="mm/dd/yyyy"/>
    <numFmt numFmtId="167" formatCode="0.0"/>
    <numFmt numFmtId="168" formatCode="+#,##0"/>
    <numFmt numFmtId="169" formatCode="0.0%"/>
    <numFmt numFmtId="170" formatCode="mm/dd"/>
    <numFmt numFmtId="171" formatCode="+0%;-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FFFFFF"/>
    </font>
    <font>
      <b val="1"/>
      <color rgb="001B4F48"/>
    </font>
    <font>
      <color rgb="00937356"/>
      <sz val="11"/>
    </font>
    <font>
      <b val="1"/>
      <color rgb="00937356"/>
    </font>
    <font>
      <b val="1"/>
      <color rgb="00D6D2C8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</fonts>
  <fills count="13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937356"/>
      </patternFill>
    </fill>
    <fill>
      <patternFill patternType="solid">
        <fgColor rgb="0075E6C1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FBF8F2"/>
      </patternFill>
    </fill>
  </fills>
  <borders count="8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/>
      <right/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 style="thin">
        <color rgb="00D6D2C8"/>
      </bottom>
      <diagonal/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7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7" fillId="9" borderId="7" applyAlignment="1" pivotButton="0" quotePrefix="0" xfId="0">
      <alignment horizontal="center" vertical="center"/>
    </xf>
    <xf numFmtId="0" fontId="0" fillId="9" borderId="7" pivotButton="0" quotePrefix="0" xfId="0"/>
    <xf numFmtId="3" fontId="18" fillId="9" borderId="2" applyAlignment="1" pivotButton="0" quotePrefix="0" xfId="0">
      <alignment horizontal="center" vertical="center"/>
    </xf>
    <xf numFmtId="0" fontId="0" fillId="9" borderId="2" pivotButton="0" quotePrefix="0" xfId="0"/>
    <xf numFmtId="164" fontId="18" fillId="9" borderId="2" applyAlignment="1" pivotButton="0" quotePrefix="0" xfId="0">
      <alignment horizontal="center" vertical="center"/>
    </xf>
    <xf numFmtId="171" fontId="18" fillId="9" borderId="2" applyAlignment="1" pivotButton="0" quotePrefix="0" xfId="0">
      <alignment horizontal="center" vertical="center"/>
    </xf>
    <xf numFmtId="9" fontId="18" fillId="9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11" fillId="2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166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6" fontId="6" fillId="10" borderId="2" applyAlignment="1" pivotButton="0" quotePrefix="0" xfId="6">
      <alignment horizontal="center" vertical="center" wrapText="1"/>
    </xf>
    <xf numFmtId="0" fontId="6" fillId="10" borderId="2" applyAlignment="1" pivotButton="0" quotePrefix="0" xfId="6">
      <alignment horizontal="center" vertical="center" wrapText="1"/>
    </xf>
    <xf numFmtId="0" fontId="6" fillId="10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9" fontId="6" fillId="10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3" fontId="6" fillId="10" borderId="2" applyAlignment="1" pivotButton="0" quotePrefix="0" xfId="6">
      <alignment horizontal="center" vertical="center" wrapText="1"/>
    </xf>
    <xf numFmtId="167" fontId="6" fillId="10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10" borderId="2" applyAlignment="1" pivotButton="0" quotePrefix="0" xfId="8">
      <alignment horizontal="center" vertical="center"/>
    </xf>
    <xf numFmtId="164" fontId="6" fillId="10" borderId="2" applyAlignment="1" pivotButton="0" quotePrefix="0" xfId="6">
      <alignment horizontal="center" vertical="center" wrapText="1"/>
    </xf>
    <xf numFmtId="164" fontId="7" fillId="11" borderId="2" applyAlignment="1" pivotButton="0" quotePrefix="0" xfId="10">
      <alignment horizontal="left" vertical="center" indent="1"/>
    </xf>
    <xf numFmtId="9" fontId="7" fillId="11" borderId="2" applyAlignment="1" pivotButton="0" quotePrefix="0" xfId="10">
      <alignment horizontal="left" vertical="center" indent="1"/>
    </xf>
    <xf numFmtId="164" fontId="12" fillId="3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9" fontId="7" fillId="3" borderId="2" applyAlignment="1" pivotButton="0" quotePrefix="0" xfId="8">
      <alignment horizontal="center" vertical="center"/>
    </xf>
    <xf numFmtId="9" fontId="7" fillId="10" borderId="2" applyAlignment="1" pivotButton="0" quotePrefix="0" xfId="8">
      <alignment horizontal="center" vertical="center"/>
    </xf>
    <xf numFmtId="0" fontId="13" fillId="0" borderId="2" applyAlignment="1" pivotButton="0" quotePrefix="0" xfId="0">
      <alignment horizontal="center"/>
    </xf>
    <xf numFmtId="0" fontId="14" fillId="6" borderId="2" applyAlignment="1" pivotButton="0" quotePrefix="0" xfId="5">
      <alignment horizontal="center" vertical="center" wrapText="1"/>
    </xf>
    <xf numFmtId="0" fontId="14" fillId="6" borderId="0" pivotButton="0" quotePrefix="0" xfId="0"/>
    <xf numFmtId="3" fontId="7" fillId="0" borderId="2" applyAlignment="1" pivotButton="0" quotePrefix="0" xfId="10">
      <alignment horizontal="left" vertical="center" indent="1"/>
    </xf>
    <xf numFmtId="168" fontId="7" fillId="0" borderId="2" applyAlignment="1" pivotButton="0" quotePrefix="0" xfId="10">
      <alignment horizontal="left" vertical="center" indent="1"/>
    </xf>
    <xf numFmtId="169" fontId="7" fillId="11" borderId="2" applyAlignment="1" pivotButton="0" quotePrefix="0" xfId="10">
      <alignment horizontal="left" vertical="center" indent="1"/>
    </xf>
    <xf numFmtId="169" fontId="7" fillId="0" borderId="2" applyAlignment="1" pivotButton="0" quotePrefix="0" xfId="10">
      <alignment horizontal="left" vertical="center" indent="1"/>
    </xf>
    <xf numFmtId="170" fontId="6" fillId="0" borderId="2" applyAlignment="1" pivotButton="0" quotePrefix="0" xfId="6">
      <alignment horizontal="center" vertical="center" wrapText="1"/>
    </xf>
    <xf numFmtId="170" fontId="6" fillId="10" borderId="2" applyAlignment="1" pivotButton="0" quotePrefix="0" xfId="6">
      <alignment horizontal="center" vertical="center" wrapText="1"/>
    </xf>
    <xf numFmtId="0" fontId="0" fillId="0" borderId="6" pivotButton="0" quotePrefix="0" xfId="0"/>
    <xf numFmtId="0" fontId="12" fillId="11" borderId="2" applyAlignment="1" pivotButton="0" quotePrefix="0" xfId="6">
      <alignment horizontal="center" vertical="center" wrapText="1"/>
    </xf>
    <xf numFmtId="0" fontId="15" fillId="9" borderId="2" applyAlignment="1" pivotButton="0" quotePrefix="0" xfId="6">
      <alignment horizontal="center" vertical="center" wrapText="1"/>
    </xf>
    <xf numFmtId="9" fontId="12" fillId="0" borderId="2" applyAlignment="1" pivotButton="0" quotePrefix="0" xfId="6">
      <alignment horizontal="center" vertical="center" wrapText="1"/>
    </xf>
    <xf numFmtId="0" fontId="9" fillId="4" borderId="3" applyAlignment="1" pivotButton="0" quotePrefix="0" xfId="11">
      <alignment horizontal="center" vertical="center" wrapText="1"/>
    </xf>
    <xf numFmtId="9" fontId="16" fillId="12" borderId="7" applyAlignment="1" pivotButton="0" quotePrefix="0" xfId="0">
      <alignment horizontal="center" vertical="center"/>
    </xf>
    <xf numFmtId="0" fontId="0" fillId="12" borderId="7" pivotButton="0" quotePrefix="0" xfId="0"/>
    <xf numFmtId="0" fontId="0" fillId="12" borderId="2" pivotButton="0" quotePrefix="0" xfId="0"/>
    <xf numFmtId="0" fontId="2" fillId="12" borderId="1" applyAlignment="1" pivotButton="0" quotePrefix="0" xfId="2">
      <alignment horizontal="left" vertical="center" indent="2"/>
    </xf>
    <xf numFmtId="167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8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E5D3BA"/>
        </patternFill>
      </fill>
    </dxf>
    <dxf>
      <fill>
        <patternFill patternType="solid">
          <fgColor rgb="00FFFFFF"/>
        </patternFill>
      </fill>
    </dxf>
    <dxf>
      <font>
        <b val="1"/>
        <color rgb="001B4F48"/>
      </font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  <dxf>
      <font>
        <b val="1"/>
        <color rgb="00937356"/>
      </font>
      <fill>
        <patternFill patternType="solid">
          <fgColor rgb="00FB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Source</a:t>
            </a:r>
          </a:p>
        </rich>
      </tx>
    </title>
    <plotArea>
      <doughnutChart>
        <varyColors val="1"/>
        <ser>
          <idx val="0"/>
          <order val="0"/>
          <tx>
            <strRef>
              <f>'Revenue'!B4</f>
            </strRef>
          </tx>
          <spPr>
            <a:ln>
              <a:prstDash val="solid"/>
            </a:ln>
          </spPr>
          <cat>
            <numRef>
              <f>'Revenue'!$A$5:$A$14</f>
            </numRef>
          </cat>
          <val>
            <numRef>
              <f>'Revenue'!$B$5:$B$14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Audience Growth (K)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'Analytics'!$B$17:$B$22</f>
            </numRef>
          </cat>
          <val>
            <numRef>
              <f>'Analytics'!$C$17:$C$22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Content by Platform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'Performance'!J4</f>
            </strRef>
          </tx>
          <spPr>
            <a:ln>
              <a:prstDash val="solid"/>
            </a:ln>
          </spPr>
          <cat>
            <numRef>
              <f>'Performance'!$I$5:$I$11</f>
            </numRef>
          </cat>
          <val>
            <numRef>
              <f>'Performance'!$J$5:$J$11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'Expenses'!B4</f>
            </strRef>
          </tx>
          <spPr>
            <a:ln>
              <a:prstDash val="solid"/>
            </a:ln>
          </spPr>
          <cat>
            <numRef>
              <f>'Expenses'!$A$5:$A$15</f>
            </numRef>
          </cat>
          <val>
            <numRef>
              <f>'Expenses'!$B$5:$B$15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Health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🎥  CREATOR COMMAND CENTER™</t>
        </is>
      </c>
    </row>
    <row r="2" ht="24" customHeight="1">
      <c r="A2" s="2" t="inlineStr">
        <is>
          <t xml:space="preserve">  The ultimate content creator business operating system.</t>
        </is>
      </c>
    </row>
    <row r="3" ht="6" customHeight="1">
      <c r="A3" s="3" t="n"/>
      <c r="B3" s="3" t="n"/>
      <c r="C3" s="3" t="n"/>
    </row>
    <row r="5">
      <c r="B5" s="4" t="inlineStr">
        <is>
          <t>TURN YOUR CONTENT INTO A BUSINESS</t>
        </is>
      </c>
    </row>
    <row r="6" ht="22" customHeight="1">
      <c r="B6" s="5" t="inlineStr">
        <is>
          <t>Most creators juggle a dozen disconnected tools for planning, finances, sponsorships and analytics. Creator Command Center™ combines business management, content production, publishing, revenue, sponsorships, audience insights and asset organization into ONE premium Excel &amp; Google Sheets operating system — so you spend less time organizing and more time creating. This isn't a content calendar. It's your creator business OS.</t>
        </is>
      </c>
    </row>
    <row r="7" ht="22" customHeight="1"/>
    <row r="8" ht="22" customHeight="1"/>
    <row r="9" ht="22" customHeight="1"/>
    <row r="11">
      <c r="B11" s="6" t="inlineStr">
        <is>
          <t>START HERE</t>
        </is>
      </c>
    </row>
    <row r="12" ht="22" customHeight="1">
      <c r="B12" s="5" t="inlineStr">
        <is>
          <t>1.  Open Settings and add your name, brand, platform &amp; monthly goals.</t>
        </is>
      </c>
    </row>
    <row r="13" ht="22" customHeight="1">
      <c r="B13" s="5" t="inlineStr">
        <is>
          <t>2.  Fill in the Brand Command Center (mission, voice, colors, handles).</t>
        </is>
      </c>
    </row>
    <row r="14" ht="22" customHeight="1">
      <c r="B14" s="5" t="inlineStr">
        <is>
          <t>3.  Plan posts in the Content Calendar &amp; move them through the Pipeline.</t>
        </is>
      </c>
    </row>
    <row r="15" ht="22" customHeight="1">
      <c r="B15" s="5" t="inlineStr">
        <is>
          <t>4.  Log revenue, sponsorships, affiliates &amp; products — profit updates live.</t>
        </is>
      </c>
    </row>
    <row r="16" ht="22" customHeight="1">
      <c r="B16" s="5" t="inlineStr">
        <is>
          <t>5.  Track performance &amp; audience growth; set Goals &amp; OKRs.</t>
        </is>
      </c>
    </row>
    <row r="17" ht="22" customHeight="1">
      <c r="B17" s="5" t="inlineStr">
        <is>
          <t>6.  Watch the Executive Dashboard track revenue, output &amp; business health.</t>
        </is>
      </c>
    </row>
    <row r="20" ht="26" customHeight="1">
      <c r="B20" s="7" t="inlineStr">
        <is>
          <t xml:space="preserve">  GOOD TO KNOW</t>
        </is>
      </c>
    </row>
    <row r="21" ht="22" customHeight="1">
      <c r="B21" s="8" t="inlineStr">
        <is>
          <t>Realistic sample data (a multi-platform creator earning $8,160/mo) is included so you can see how everything connects — just type over it with your own. Revenue, net profit, publishing consistency, sponsorship pipeline, audience growth and the Business Health Score all update automatically. Note: the Password &amp; Account Index references your password manager — never store real passwords here. Every sheet is print-friendly and works in Excel and Google Sheets, on desktop and mobile.</t>
        </is>
      </c>
    </row>
    <row r="22" ht="22" customHeight="1">
      <c r="B22" s="9" t="n"/>
    </row>
    <row r="23" ht="22" customHeight="1">
      <c r="B23" s="9" t="n"/>
    </row>
    <row r="25">
      <c r="B25" s="4" t="inlineStr">
        <is>
          <t>One organized system, more time to create — let's build your empire.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🎥  CREATOR COMMAND CENTER™</t>
        </is>
      </c>
    </row>
    <row r="2" ht="24" customHeight="1">
      <c r="A2" s="2" t="inlineStr">
        <is>
          <t xml:space="preserve">  Content, revenue, sponsorships &amp; audience — your whole creator business,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PUBLISHED (30D)</t>
        </is>
      </c>
      <c r="C5" s="11" t="n"/>
      <c r="D5" s="10" t="inlineStr">
        <is>
          <t>SCHEDULED</t>
        </is>
      </c>
      <c r="E5" s="11" t="n"/>
      <c r="F5" s="10" t="inlineStr">
        <is>
          <t>REVENUE / MO</t>
        </is>
      </c>
      <c r="G5" s="11" t="n"/>
      <c r="H5" s="10" t="inlineStr">
        <is>
          <t>SPONSORSHIPS</t>
        </is>
      </c>
      <c r="I5" s="11" t="n"/>
      <c r="J5" s="10" t="inlineStr">
        <is>
          <t>AFFILIATE</t>
        </is>
      </c>
      <c r="K5" s="11" t="n"/>
      <c r="L5" s="10" t="inlineStr">
        <is>
          <t>DIGITAL PRODUCTS</t>
        </is>
      </c>
      <c r="M5" s="11" t="n"/>
    </row>
    <row r="6" ht="40" customHeight="1">
      <c r="B6" s="12">
        <f>COUNTIFS(PerfDate,"&gt;="&amp;TODAY()-30)</f>
        <v/>
      </c>
      <c r="C6" s="13" t="n"/>
      <c r="D6" s="12">
        <f>COUNTIF(CalStatus,"Scheduled")</f>
        <v/>
      </c>
      <c r="E6" s="13" t="n"/>
      <c r="F6" s="14">
        <f>RevenueTotal</f>
        <v/>
      </c>
      <c r="G6" s="13" t="n"/>
      <c r="H6" s="14">
        <f>RevSponsor</f>
        <v/>
      </c>
      <c r="I6" s="13" t="n"/>
      <c r="J6" s="14">
        <f>RevAffiliate</f>
        <v/>
      </c>
      <c r="K6" s="13" t="n"/>
      <c r="L6" s="14">
        <f>RevDigital</f>
        <v/>
      </c>
      <c r="M6" s="13" t="n"/>
    </row>
    <row r="8" ht="18" customHeight="1">
      <c r="B8" s="10" t="inlineStr">
        <is>
          <t>EXPENSES / MO</t>
        </is>
      </c>
      <c r="C8" s="11" t="n"/>
      <c r="D8" s="10" t="inlineStr">
        <is>
          <t>NET PROFIT</t>
        </is>
      </c>
      <c r="E8" s="11" t="n"/>
      <c r="F8" s="10" t="inlineStr">
        <is>
          <t>BRAND DEALS ACTIVE</t>
        </is>
      </c>
      <c r="G8" s="11" t="n"/>
      <c r="H8" s="10" t="inlineStr">
        <is>
          <t>AUDIENCE GROWTH</t>
        </is>
      </c>
      <c r="I8" s="11" t="n"/>
      <c r="J8" s="10" t="inlineStr">
        <is>
          <t>COMPLETION RATE</t>
        </is>
      </c>
      <c r="K8" s="11" t="n"/>
      <c r="L8" s="10" t="inlineStr">
        <is>
          <t>BUSINESS HEALTH</t>
        </is>
      </c>
      <c r="M8" s="11" t="n"/>
    </row>
    <row r="9" ht="40" customHeight="1">
      <c r="B9" s="14">
        <f>ExpenseTotal</f>
        <v/>
      </c>
      <c r="C9" s="13" t="n"/>
      <c r="D9" s="14">
        <f>RevenueTotal-ExpenseTotal</f>
        <v/>
      </c>
      <c r="E9" s="13" t="n"/>
      <c r="F9" s="12">
        <f>COUNTIF(SponStage,"Signed")+COUNTIF(SponStage,"Delivered")+COUNTIF(SponStage,"Negotiating")</f>
        <v/>
      </c>
      <c r="G9" s="13" t="n"/>
      <c r="H9" s="15">
        <f>IFERROR(AudNow/AudPrev-1,0)</f>
        <v/>
      </c>
      <c r="I9" s="13" t="n"/>
      <c r="J9" s="16">
        <f>IFERROR(MIN(COUNTIFS(PerfDate,"&gt;="&amp;TODAY()-30)/ContentGoal,1),0)</f>
        <v/>
      </c>
      <c r="K9" s="13" t="n"/>
      <c r="L9" s="16">
        <f>IFERROR(AVERAGE(HealthRange),0)</f>
        <v/>
      </c>
      <c r="M9" s="13" t="n"/>
    </row>
    <row r="11" ht="26" customHeight="1">
      <c r="B11" s="4" t="inlineStr">
        <is>
          <t>REVENUE &amp; AUDIENCE</t>
        </is>
      </c>
    </row>
    <row r="29" ht="26" customHeight="1">
      <c r="B29" s="4" t="inlineStr">
        <is>
          <t>CONTENT &amp; EXPENSES</t>
        </is>
      </c>
    </row>
    <row r="47" ht="26" customHeight="1">
      <c r="B47" s="2" t="inlineStr">
        <is>
          <t>Creator Command Center™ — plan, publish, monetize &amp; scale.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🎨  BRAND COMMAND CENTER</t>
        </is>
      </c>
    </row>
    <row r="2" ht="22" customHeight="1">
      <c r="A2" s="2" t="inlineStr">
        <is>
          <t xml:space="preserve">  Your brand, defined — the identity every piece of content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BRAND IDENTITY</t>
        </is>
      </c>
    </row>
    <row r="6" ht="24" customHeight="1">
      <c r="B6" s="17" t="inlineStr">
        <is>
          <t>Brand Name</t>
        </is>
      </c>
      <c r="C6" s="18">
        <f>BrandName</f>
        <v/>
      </c>
      <c r="E6" s="17" t="inlineStr">
        <is>
          <t>Creator</t>
        </is>
      </c>
      <c r="F6" s="18">
        <f>CreatorName</f>
        <v/>
      </c>
    </row>
    <row r="7" ht="24" customHeight="1">
      <c r="B7" s="17" t="inlineStr">
        <is>
          <t>Website</t>
        </is>
      </c>
      <c r="C7" s="18" t="inlineStr">
        <is>
          <t>novacreative.co</t>
        </is>
      </c>
      <c r="E7" s="17" t="inlineStr">
        <is>
          <t>Niche</t>
        </is>
      </c>
      <c r="F7" s="18" t="inlineStr">
        <is>
          <t>Creative business &amp; tech</t>
        </is>
      </c>
    </row>
    <row r="8" ht="24" customHeight="1">
      <c r="B8" s="17" t="inlineStr">
        <is>
          <t>Founded</t>
        </is>
      </c>
      <c r="C8" s="18" t="inlineStr">
        <is>
          <t>2021</t>
        </is>
      </c>
      <c r="E8" s="17" t="inlineStr">
        <is>
          <t>Primary Platform</t>
        </is>
      </c>
      <c r="F8" s="18">
        <f>PrimaryPlatform</f>
        <v/>
      </c>
    </row>
    <row r="10" ht="22" customHeight="1">
      <c r="B10" s="4" t="inlineStr">
        <is>
          <t>VOICE &amp; AUDIENCE</t>
        </is>
      </c>
    </row>
    <row r="11" ht="24" customHeight="1">
      <c r="B11" s="17" t="inlineStr">
        <is>
          <t>Voice &amp; Tone</t>
        </is>
      </c>
      <c r="C11" s="18" t="inlineStr">
        <is>
          <t>Warm, sharp, encouraging</t>
        </is>
      </c>
      <c r="E11" s="17" t="inlineStr">
        <is>
          <t>Target Audience</t>
        </is>
      </c>
      <c r="F11" s="18" t="inlineStr">
        <is>
          <t>Aspiring creators 24–38</t>
        </is>
      </c>
    </row>
    <row r="12" ht="24" customHeight="1">
      <c r="B12" s="17" t="inlineStr">
        <is>
          <t>Core Values</t>
        </is>
      </c>
      <c r="C12" s="18" t="inlineStr">
        <is>
          <t>Clarity · Craft · Generosity</t>
        </is>
      </c>
      <c r="E12" s="17" t="inlineStr">
        <is>
          <t>Mission</t>
        </is>
      </c>
      <c r="F12" s="18" t="inlineStr">
        <is>
          <t>Help creators build real businesses</t>
        </is>
      </c>
    </row>
    <row r="13" ht="24" customHeight="1">
      <c r="B13" s="17" t="inlineStr">
        <is>
          <t>Elevator Pitch</t>
        </is>
      </c>
      <c r="C13" s="18" t="inlineStr">
        <is>
          <t>Systems that turn content into income</t>
        </is>
      </c>
      <c r="E13" s="17" t="inlineStr">
        <is>
          <t>Content Pillars</t>
        </is>
      </c>
      <c r="F13" s="18" t="inlineStr">
        <is>
          <t>Systems · Money · Growth</t>
        </is>
      </c>
    </row>
    <row r="15" ht="22" customHeight="1">
      <c r="B15" s="4" t="inlineStr">
        <is>
          <t>BRAND COLORS &amp; TYPE</t>
        </is>
      </c>
    </row>
    <row r="16">
      <c r="B16" s="17" t="inlineStr">
        <is>
          <t>Primary</t>
        </is>
      </c>
      <c r="C16" s="17" t="inlineStr">
        <is>
          <t>Accent</t>
        </is>
      </c>
      <c r="D16" s="17" t="inlineStr">
        <is>
          <t>Surface</t>
        </is>
      </c>
      <c r="E16" s="17" t="inlineStr">
        <is>
          <t>Highlight</t>
        </is>
      </c>
    </row>
    <row r="17" ht="26" customHeight="1">
      <c r="B17" s="19" t="inlineStr">
        <is>
          <t>#1B4F48</t>
        </is>
      </c>
      <c r="C17" s="20" t="inlineStr">
        <is>
          <t>#937356</t>
        </is>
      </c>
      <c r="D17" s="21" t="inlineStr">
        <is>
          <t>#E5D3BA</t>
        </is>
      </c>
      <c r="E17" s="22" t="inlineStr">
        <is>
          <t>#75E6C1</t>
        </is>
      </c>
    </row>
    <row r="18">
      <c r="B18" s="17" t="inlineStr">
        <is>
          <t>Headings</t>
        </is>
      </c>
      <c r="C18" s="18" t="inlineStr">
        <is>
          <t>Serif display</t>
        </is>
      </c>
      <c r="E18" s="17" t="inlineStr">
        <is>
          <t>Body</t>
        </is>
      </c>
      <c r="F18" s="18" t="inlineStr">
        <is>
          <t>Clean sans-serif</t>
        </is>
      </c>
    </row>
    <row r="20" ht="22" customHeight="1">
      <c r="B20" s="4" t="inlineStr">
        <is>
          <t>SOCIAL HANDLES</t>
        </is>
      </c>
    </row>
    <row r="21">
      <c r="B21" s="17" t="inlineStr">
        <is>
          <t>YouTube</t>
        </is>
      </c>
      <c r="C21" s="18" t="inlineStr">
        <is>
          <t>@novacreative</t>
        </is>
      </c>
      <c r="E21" s="17" t="inlineStr">
        <is>
          <t>TikTok</t>
        </is>
      </c>
      <c r="F21" s="18" t="inlineStr">
        <is>
          <t>@novacreative</t>
        </is>
      </c>
    </row>
    <row r="22">
      <c r="B22" s="17" t="inlineStr">
        <is>
          <t>Instagram</t>
        </is>
      </c>
      <c r="C22" s="18" t="inlineStr">
        <is>
          <t>@nova.creative</t>
        </is>
      </c>
      <c r="E22" s="17" t="inlineStr">
        <is>
          <t>X</t>
        </is>
      </c>
      <c r="F22" s="18" t="inlineStr">
        <is>
          <t>@novacreative</t>
        </is>
      </c>
    </row>
    <row r="23">
      <c r="B23" s="17" t="inlineStr">
        <is>
          <t>Newsletter</t>
        </is>
      </c>
      <c r="C23" s="18" t="inlineStr">
        <is>
          <t>The Nova Note</t>
        </is>
      </c>
      <c r="E23" s="17" t="inlineStr">
        <is>
          <t>LinkedIn</t>
        </is>
      </c>
      <c r="F23" s="18" t="inlineStr">
        <is>
          <t>Ava Sky</t>
        </is>
      </c>
    </row>
  </sheetData>
  <mergeCells count="6">
    <mergeCell ref="A1:G1"/>
    <mergeCell ref="B20:F20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5" customWidth="1" min="4" max="4"/>
    <col width="15" customWidth="1" min="5" max="5"/>
    <col width="11" customWidth="1" min="6" max="6"/>
    <col width="14" customWidth="1" min="7" max="7"/>
  </cols>
  <sheetData>
    <row r="1" ht="46" customHeight="1">
      <c r="A1" s="1" t="inlineStr">
        <is>
          <t xml:space="preserve">  🗓  CONTENT MASTER CALENDAR</t>
        </is>
      </c>
    </row>
    <row r="2" ht="22" customHeight="1">
      <c r="A2" s="2" t="inlineStr">
        <is>
          <t xml:space="preserve">  Plan every platform in one view — publishing status calculates itself.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Publish Date</t>
        </is>
      </c>
      <c r="B4" s="7" t="inlineStr">
        <is>
          <t>Platform</t>
        </is>
      </c>
      <c r="C4" s="7" t="inlineStr">
        <is>
          <t>Topic</t>
        </is>
      </c>
      <c r="D4" s="7" t="inlineStr">
        <is>
          <t>Campaign</t>
        </is>
      </c>
      <c r="E4" s="7" t="inlineStr">
        <is>
          <t>CTA</t>
        </is>
      </c>
      <c r="F4" s="7" t="inlineStr">
        <is>
          <t>Priority</t>
        </is>
      </c>
      <c r="G4" s="7" t="inlineStr">
        <is>
          <t>Status</t>
        </is>
      </c>
    </row>
    <row r="5">
      <c r="A5" s="23" t="n">
        <v>46186</v>
      </c>
      <c r="B5" s="24" t="inlineStr">
        <is>
          <t>YouTube</t>
        </is>
      </c>
      <c r="C5" s="25" t="inlineStr">
        <is>
          <t>5 Systems That 10x Your Output</t>
        </is>
      </c>
      <c r="D5" s="25" t="inlineStr">
        <is>
          <t>Series</t>
        </is>
      </c>
      <c r="E5" s="25" t="inlineStr">
        <is>
          <t>Subscribe</t>
        </is>
      </c>
      <c r="F5" s="24" t="inlineStr">
        <is>
          <t>High</t>
        </is>
      </c>
      <c r="G5" s="24" t="inlineStr">
        <is>
          <t>Published</t>
        </is>
      </c>
    </row>
    <row r="6">
      <c r="A6" s="26" t="n">
        <v>46188</v>
      </c>
      <c r="B6" s="27" t="inlineStr">
        <is>
          <t>TikTok</t>
        </is>
      </c>
      <c r="C6" s="28" t="inlineStr">
        <is>
          <t>The 2-folder content system</t>
        </is>
      </c>
      <c r="D6" s="28" t="inlineStr">
        <is>
          <t>Organic</t>
        </is>
      </c>
      <c r="E6" s="28" t="inlineStr">
        <is>
          <t>Follow</t>
        </is>
      </c>
      <c r="F6" s="27" t="inlineStr">
        <is>
          <t>Medium</t>
        </is>
      </c>
      <c r="G6" s="27" t="inlineStr">
        <is>
          <t>Published</t>
        </is>
      </c>
    </row>
    <row r="7">
      <c r="A7" s="23" t="n">
        <v>46191</v>
      </c>
      <c r="B7" s="24" t="inlineStr">
        <is>
          <t>Newsletter</t>
        </is>
      </c>
      <c r="C7" s="25" t="inlineStr">
        <is>
          <t>How I plan a month in 90 min</t>
        </is>
      </c>
      <c r="D7" s="25" t="inlineStr">
        <is>
          <t>Organic</t>
        </is>
      </c>
      <c r="E7" s="25" t="inlineStr">
        <is>
          <t>Read more</t>
        </is>
      </c>
      <c r="F7" s="24" t="inlineStr">
        <is>
          <t>High</t>
        </is>
      </c>
      <c r="G7" s="24" t="inlineStr">
        <is>
          <t>Published</t>
        </is>
      </c>
    </row>
    <row r="8">
      <c r="A8" s="26" t="n">
        <v>46194</v>
      </c>
      <c r="B8" s="27" t="inlineStr">
        <is>
          <t>Instagram</t>
        </is>
      </c>
      <c r="C8" s="28" t="inlineStr">
        <is>
          <t>Behind the scenes: my studio</t>
        </is>
      </c>
      <c r="D8" s="28" t="inlineStr">
        <is>
          <t>Organic</t>
        </is>
      </c>
      <c r="E8" s="28" t="inlineStr">
        <is>
          <t>Save</t>
        </is>
      </c>
      <c r="F8" s="27" t="inlineStr">
        <is>
          <t>Low</t>
        </is>
      </c>
      <c r="G8" s="27" t="inlineStr">
        <is>
          <t>Published</t>
        </is>
      </c>
    </row>
    <row r="9">
      <c r="A9" s="23" t="n">
        <v>46196</v>
      </c>
      <c r="B9" s="24" t="inlineStr">
        <is>
          <t>YouTube</t>
        </is>
      </c>
      <c r="C9" s="25" t="inlineStr">
        <is>
          <t>$0 to $8k/mo as a creator</t>
        </is>
      </c>
      <c r="D9" s="25" t="inlineStr">
        <is>
          <t>Sponsored</t>
        </is>
      </c>
      <c r="E9" s="25" t="inlineStr">
        <is>
          <t>Sponsor link</t>
        </is>
      </c>
      <c r="F9" s="24" t="inlineStr">
        <is>
          <t>High</t>
        </is>
      </c>
      <c r="G9" s="24" t="inlineStr">
        <is>
          <t>Published</t>
        </is>
      </c>
    </row>
    <row r="10">
      <c r="A10" s="26" t="n">
        <v>46198</v>
      </c>
      <c r="B10" s="27" t="inlineStr">
        <is>
          <t>Podcast</t>
        </is>
      </c>
      <c r="C10" s="28" t="inlineStr">
        <is>
          <t>Interview: scaling to full-time</t>
        </is>
      </c>
      <c r="D10" s="28" t="inlineStr">
        <is>
          <t>Series</t>
        </is>
      </c>
      <c r="E10" s="28" t="inlineStr">
        <is>
          <t>Listen</t>
        </is>
      </c>
      <c r="F10" s="27" t="inlineStr">
        <is>
          <t>Medium</t>
        </is>
      </c>
      <c r="G10" s="27" t="inlineStr">
        <is>
          <t>Published</t>
        </is>
      </c>
    </row>
    <row r="11">
      <c r="A11" s="23" t="n">
        <v>46200</v>
      </c>
      <c r="B11" s="24" t="inlineStr">
        <is>
          <t>IG Reels</t>
        </is>
      </c>
      <c r="C11" s="25" t="inlineStr">
        <is>
          <t>3 tools I can't live without</t>
        </is>
      </c>
      <c r="D11" s="25" t="inlineStr">
        <is>
          <t>Affiliate</t>
        </is>
      </c>
      <c r="E11" s="25" t="inlineStr">
        <is>
          <t>Link in bio</t>
        </is>
      </c>
      <c r="F11" s="24" t="inlineStr">
        <is>
          <t>Medium</t>
        </is>
      </c>
      <c r="G11" s="24" t="inlineStr">
        <is>
          <t>Published</t>
        </is>
      </c>
    </row>
    <row r="12">
      <c r="A12" s="26" t="n">
        <v>46202</v>
      </c>
      <c r="B12" s="27" t="inlineStr">
        <is>
          <t>Blog</t>
        </is>
      </c>
      <c r="C12" s="28" t="inlineStr">
        <is>
          <t>The creator's tax checklist</t>
        </is>
      </c>
      <c r="D12" s="28" t="inlineStr">
        <is>
          <t>Organic</t>
        </is>
      </c>
      <c r="E12" s="28" t="inlineStr">
        <is>
          <t>Download</t>
        </is>
      </c>
      <c r="F12" s="27" t="inlineStr">
        <is>
          <t>Low</t>
        </is>
      </c>
      <c r="G12" s="27" t="inlineStr">
        <is>
          <t>Published</t>
        </is>
      </c>
    </row>
    <row r="13">
      <c r="A13" s="23" t="n">
        <v>46204</v>
      </c>
      <c r="B13" s="24" t="inlineStr">
        <is>
          <t>TikTok</t>
        </is>
      </c>
      <c r="C13" s="25" t="inlineStr">
        <is>
          <t>Reply: how much I actually make</t>
        </is>
      </c>
      <c r="D13" s="25" t="inlineStr">
        <is>
          <t>Organic</t>
        </is>
      </c>
      <c r="E13" s="25" t="inlineStr">
        <is>
          <t>Follow</t>
        </is>
      </c>
      <c r="F13" s="24" t="inlineStr">
        <is>
          <t>Medium</t>
        </is>
      </c>
      <c r="G13" s="24" t="inlineStr">
        <is>
          <t>Published</t>
        </is>
      </c>
    </row>
    <row r="14">
      <c r="A14" s="26" t="n">
        <v>46205</v>
      </c>
      <c r="B14" s="27" t="inlineStr">
        <is>
          <t>Instagram</t>
        </is>
      </c>
      <c r="C14" s="28" t="inlineStr">
        <is>
          <t>Carousel: 7 hooks that work</t>
        </is>
      </c>
      <c r="D14" s="28" t="inlineStr">
        <is>
          <t>Organic</t>
        </is>
      </c>
      <c r="E14" s="28" t="inlineStr">
        <is>
          <t>Save</t>
        </is>
      </c>
      <c r="F14" s="27" t="inlineStr">
        <is>
          <t>Medium</t>
        </is>
      </c>
      <c r="G14" s="27" t="inlineStr">
        <is>
          <t>Published</t>
        </is>
      </c>
    </row>
    <row r="15">
      <c r="A15" s="23" t="n">
        <v>46207</v>
      </c>
      <c r="B15" s="24" t="inlineStr">
        <is>
          <t>YouTube</t>
        </is>
      </c>
      <c r="C15" s="25" t="inlineStr">
        <is>
          <t>My full content workflow (2024)</t>
        </is>
      </c>
      <c r="D15" s="25" t="inlineStr">
        <is>
          <t>Product Launch</t>
        </is>
      </c>
      <c r="E15" s="25" t="inlineStr">
        <is>
          <t>Get the template</t>
        </is>
      </c>
      <c r="F15" s="24" t="inlineStr">
        <is>
          <t>High</t>
        </is>
      </c>
      <c r="G15" s="24" t="inlineStr">
        <is>
          <t>Scheduled</t>
        </is>
      </c>
    </row>
    <row r="16">
      <c r="A16" s="26" t="n">
        <v>46208</v>
      </c>
      <c r="B16" s="27" t="inlineStr">
        <is>
          <t>Newsletter</t>
        </is>
      </c>
      <c r="C16" s="28" t="inlineStr">
        <is>
          <t>Launch week: behind the build</t>
        </is>
      </c>
      <c r="D16" s="28" t="inlineStr">
        <is>
          <t>Product Launch</t>
        </is>
      </c>
      <c r="E16" s="28" t="inlineStr">
        <is>
          <t>Buy now</t>
        </is>
      </c>
      <c r="F16" s="27" t="inlineStr">
        <is>
          <t>High</t>
        </is>
      </c>
      <c r="G16" s="27" t="inlineStr">
        <is>
          <t>Scheduled</t>
        </is>
      </c>
    </row>
    <row r="17">
      <c r="A17" s="23" t="n">
        <v>46209</v>
      </c>
      <c r="B17" s="24" t="inlineStr">
        <is>
          <t>TikTok</t>
        </is>
      </c>
      <c r="C17" s="25" t="inlineStr">
        <is>
          <t>POV: launch day</t>
        </is>
      </c>
      <c r="D17" s="25" t="inlineStr">
        <is>
          <t>Product Launch</t>
        </is>
      </c>
      <c r="E17" s="25" t="inlineStr">
        <is>
          <t>Link in bio</t>
        </is>
      </c>
      <c r="F17" s="24" t="inlineStr">
        <is>
          <t>High</t>
        </is>
      </c>
      <c r="G17" s="24" t="inlineStr">
        <is>
          <t>Scheduled</t>
        </is>
      </c>
    </row>
    <row r="18">
      <c r="A18" s="26" t="n">
        <v>46210</v>
      </c>
      <c r="B18" s="27" t="inlineStr">
        <is>
          <t>IG Reels</t>
        </is>
      </c>
      <c r="C18" s="28" t="inlineStr">
        <is>
          <t>Template walkthrough</t>
        </is>
      </c>
      <c r="D18" s="28" t="inlineStr">
        <is>
          <t>Product Launch</t>
        </is>
      </c>
      <c r="E18" s="28" t="inlineStr">
        <is>
          <t>Shop</t>
        </is>
      </c>
      <c r="F18" s="27" t="inlineStr">
        <is>
          <t>High</t>
        </is>
      </c>
      <c r="G18" s="27" t="inlineStr">
        <is>
          <t>Scheduled</t>
        </is>
      </c>
    </row>
    <row r="19">
      <c r="A19" s="23" t="n">
        <v>46212</v>
      </c>
      <c r="B19" s="24" t="inlineStr">
        <is>
          <t>YouTube</t>
        </is>
      </c>
      <c r="C19" s="25" t="inlineStr">
        <is>
          <t>Sponsor integration: Riverside</t>
        </is>
      </c>
      <c r="D19" s="25" t="inlineStr">
        <is>
          <t>Sponsored</t>
        </is>
      </c>
      <c r="E19" s="25" t="inlineStr">
        <is>
          <t>Try free</t>
        </is>
      </c>
      <c r="F19" s="24" t="inlineStr">
        <is>
          <t>High</t>
        </is>
      </c>
      <c r="G19" s="24" t="inlineStr">
        <is>
          <t>Scheduled</t>
        </is>
      </c>
    </row>
    <row r="20">
      <c r="A20" s="26" t="n">
        <v>46214</v>
      </c>
      <c r="B20" s="27" t="inlineStr">
        <is>
          <t>Instagram</t>
        </is>
      </c>
      <c r="C20" s="28" t="inlineStr">
        <is>
          <t>Q&amp;A: your top questions</t>
        </is>
      </c>
      <c r="D20" s="28" t="inlineStr">
        <is>
          <t>Organic</t>
        </is>
      </c>
      <c r="E20" s="28" t="inlineStr">
        <is>
          <t>Comment</t>
        </is>
      </c>
      <c r="F20" s="27" t="inlineStr">
        <is>
          <t>Low</t>
        </is>
      </c>
      <c r="G20" s="27" t="inlineStr">
        <is>
          <t>Scheduled</t>
        </is>
      </c>
    </row>
    <row r="21">
      <c r="A21" s="23" t="n">
        <v>46216</v>
      </c>
      <c r="B21" s="24" t="inlineStr">
        <is>
          <t>Podcast</t>
        </is>
      </c>
      <c r="C21" s="25" t="inlineStr">
        <is>
          <t>Solo: pricing your products</t>
        </is>
      </c>
      <c r="D21" s="25" t="inlineStr">
        <is>
          <t>Series</t>
        </is>
      </c>
      <c r="E21" s="25" t="inlineStr">
        <is>
          <t>Listen</t>
        </is>
      </c>
      <c r="F21" s="24" t="inlineStr">
        <is>
          <t>Medium</t>
        </is>
      </c>
      <c r="G21" s="24" t="inlineStr">
        <is>
          <t>Scheduled</t>
        </is>
      </c>
    </row>
    <row r="22">
      <c r="A22" s="26" t="n">
        <v>46218</v>
      </c>
      <c r="B22" s="27" t="inlineStr">
        <is>
          <t>Blog</t>
        </is>
      </c>
      <c r="C22" s="28" t="inlineStr">
        <is>
          <t>SEO deep-dive for creators</t>
        </is>
      </c>
      <c r="D22" s="28" t="inlineStr">
        <is>
          <t>Organic</t>
        </is>
      </c>
      <c r="E22" s="28" t="inlineStr">
        <is>
          <t>Read</t>
        </is>
      </c>
      <c r="F22" s="27" t="inlineStr">
        <is>
          <t>Medium</t>
        </is>
      </c>
      <c r="G22" s="27" t="inlineStr">
        <is>
          <t>Scheduled</t>
        </is>
      </c>
    </row>
    <row r="23">
      <c r="A23" s="23" t="n">
        <v>46211</v>
      </c>
      <c r="B23" s="24" t="inlineStr">
        <is>
          <t>YouTube</t>
        </is>
      </c>
      <c r="C23" s="25" t="inlineStr">
        <is>
          <t>Repurpose: shorts from ep. 12</t>
        </is>
      </c>
      <c r="D23" s="25" t="inlineStr">
        <is>
          <t>Series</t>
        </is>
      </c>
      <c r="E23" s="25" t="inlineStr">
        <is>
          <t>Subscribe</t>
        </is>
      </c>
      <c r="F23" s="24" t="inlineStr">
        <is>
          <t>Medium</t>
        </is>
      </c>
      <c r="G23" s="24" t="inlineStr">
        <is>
          <t>In Progress</t>
        </is>
      </c>
    </row>
    <row r="24">
      <c r="A24" s="26" t="n">
        <v>46213</v>
      </c>
      <c r="B24" s="27" t="inlineStr">
        <is>
          <t>TikTok</t>
        </is>
      </c>
      <c r="C24" s="28" t="inlineStr">
        <is>
          <t>Trend audio idea</t>
        </is>
      </c>
      <c r="D24" s="28" t="inlineStr">
        <is>
          <t>Organic</t>
        </is>
      </c>
      <c r="E24" s="28" t="inlineStr">
        <is>
          <t>Follow</t>
        </is>
      </c>
      <c r="F24" s="27" t="inlineStr">
        <is>
          <t>Low</t>
        </is>
      </c>
      <c r="G24" s="27" t="inlineStr">
        <is>
          <t>In Progress</t>
        </is>
      </c>
    </row>
    <row r="25">
      <c r="A25" s="23" t="n">
        <v>46206</v>
      </c>
      <c r="B25" s="24" t="inlineStr">
        <is>
          <t>Instagram</t>
        </is>
      </c>
      <c r="C25" s="25" t="inlineStr">
        <is>
          <t>Reel: editing hack</t>
        </is>
      </c>
      <c r="D25" s="25" t="inlineStr">
        <is>
          <t>Organic</t>
        </is>
      </c>
      <c r="E25" s="25" t="inlineStr">
        <is>
          <t>Save</t>
        </is>
      </c>
      <c r="F25" s="24" t="inlineStr">
        <is>
          <t>Medium</t>
        </is>
      </c>
      <c r="G25" s="24" t="inlineStr">
        <is>
          <t>Review</t>
        </is>
      </c>
    </row>
    <row r="26">
      <c r="A26" s="26" t="n">
        <v>46220</v>
      </c>
      <c r="B26" s="27" t="inlineStr">
        <is>
          <t>Newsletter</t>
        </is>
      </c>
      <c r="C26" s="28" t="inlineStr">
        <is>
          <t>Monthly recap + wins</t>
        </is>
      </c>
      <c r="D26" s="28" t="inlineStr">
        <is>
          <t>Organic</t>
        </is>
      </c>
      <c r="E26" s="28" t="inlineStr">
        <is>
          <t>Read</t>
        </is>
      </c>
      <c r="F26" s="27" t="inlineStr">
        <is>
          <t>Low</t>
        </is>
      </c>
      <c r="G26" s="27" t="inlineStr">
        <is>
          <t>Idea</t>
        </is>
      </c>
    </row>
    <row r="27">
      <c r="A27" s="23" t="n">
        <v>46222</v>
      </c>
      <c r="B27" s="24" t="inlineStr">
        <is>
          <t>YouTube</t>
        </is>
      </c>
      <c r="C27" s="25" t="inlineStr">
        <is>
          <t>Gear upgrade tour</t>
        </is>
      </c>
      <c r="D27" s="25" t="inlineStr">
        <is>
          <t>Affiliate</t>
        </is>
      </c>
      <c r="E27" s="25" t="inlineStr">
        <is>
          <t>Links below</t>
        </is>
      </c>
      <c r="F27" s="24" t="inlineStr">
        <is>
          <t>Low</t>
        </is>
      </c>
      <c r="G27" s="24" t="inlineStr">
        <is>
          <t>Idea</t>
        </is>
      </c>
    </row>
    <row r="28">
      <c r="A28" s="26" t="n">
        <v>46224</v>
      </c>
      <c r="B28" s="27" t="inlineStr">
        <is>
          <t>LinkedIn</t>
        </is>
      </c>
      <c r="C28" s="28" t="inlineStr">
        <is>
          <t>Lessons from 3 years creating</t>
        </is>
      </c>
      <c r="D28" s="28" t="inlineStr">
        <is>
          <t>Organic</t>
        </is>
      </c>
      <c r="E28" s="28" t="inlineStr">
        <is>
          <t>Connect</t>
        </is>
      </c>
      <c r="F28" s="27" t="inlineStr">
        <is>
          <t>Low</t>
        </is>
      </c>
      <c r="G28" s="27" t="inlineStr">
        <is>
          <t>Idea</t>
        </is>
      </c>
    </row>
    <row r="29">
      <c r="A29" s="23" t="n"/>
      <c r="B29" s="24" t="n"/>
      <c r="C29" s="25" t="n"/>
      <c r="D29" s="25" t="n"/>
      <c r="E29" s="25" t="n"/>
      <c r="F29" s="24" t="n"/>
      <c r="G29" s="24" t="n"/>
    </row>
    <row r="30">
      <c r="A30" s="26" t="n"/>
      <c r="B30" s="27" t="n"/>
      <c r="C30" s="28" t="n"/>
      <c r="D30" s="28" t="n"/>
      <c r="E30" s="28" t="n"/>
      <c r="F30" s="27" t="n"/>
      <c r="G30" s="27" t="n"/>
    </row>
    <row r="31">
      <c r="A31" s="23" t="n"/>
      <c r="B31" s="24" t="n"/>
      <c r="C31" s="25" t="n"/>
      <c r="D31" s="25" t="n"/>
      <c r="E31" s="25" t="n"/>
      <c r="F31" s="24" t="n"/>
      <c r="G31" s="24" t="n"/>
    </row>
    <row r="32">
      <c r="A32" s="26" t="n"/>
      <c r="B32" s="27" t="n"/>
      <c r="C32" s="28" t="n"/>
      <c r="D32" s="28" t="n"/>
      <c r="E32" s="28" t="n"/>
      <c r="F32" s="27" t="n"/>
      <c r="G32" s="27" t="n"/>
    </row>
    <row r="33">
      <c r="A33" s="23" t="n"/>
      <c r="B33" s="24" t="n"/>
      <c r="C33" s="25" t="n"/>
      <c r="D33" s="25" t="n"/>
      <c r="E33" s="25" t="n"/>
      <c r="F33" s="24" t="n"/>
      <c r="G33" s="24" t="n"/>
    </row>
    <row r="34">
      <c r="A34" s="26" t="n"/>
      <c r="B34" s="27" t="n"/>
      <c r="C34" s="28" t="n"/>
      <c r="D34" s="28" t="n"/>
      <c r="E34" s="28" t="n"/>
      <c r="F34" s="27" t="n"/>
      <c r="G34" s="27" t="n"/>
    </row>
    <row r="35">
      <c r="A35" s="23" t="n"/>
      <c r="B35" s="24" t="n"/>
      <c r="C35" s="25" t="n"/>
      <c r="D35" s="25" t="n"/>
      <c r="E35" s="25" t="n"/>
      <c r="F35" s="24" t="n"/>
      <c r="G35" s="24" t="n"/>
    </row>
    <row r="36">
      <c r="A36" s="26" t="n"/>
      <c r="B36" s="27" t="n"/>
      <c r="C36" s="28" t="n"/>
      <c r="D36" s="28" t="n"/>
      <c r="E36" s="28" t="n"/>
      <c r="F36" s="27" t="n"/>
      <c r="G36" s="27" t="n"/>
    </row>
    <row r="37">
      <c r="A37" s="23" t="n"/>
      <c r="B37" s="24" t="n"/>
      <c r="C37" s="25" t="n"/>
      <c r="D37" s="25" t="n"/>
      <c r="E37" s="25" t="n"/>
      <c r="F37" s="24" t="n"/>
      <c r="G37" s="24" t="n"/>
    </row>
    <row r="38">
      <c r="A38" s="26" t="n"/>
      <c r="B38" s="27" t="n"/>
      <c r="C38" s="28" t="n"/>
      <c r="D38" s="28" t="n"/>
      <c r="E38" s="28" t="n"/>
      <c r="F38" s="27" t="n"/>
      <c r="G38" s="27" t="n"/>
    </row>
    <row r="39">
      <c r="A39" s="23" t="n"/>
      <c r="B39" s="24" t="n"/>
      <c r="C39" s="25" t="n"/>
      <c r="D39" s="25" t="n"/>
      <c r="E39" s="25" t="n"/>
      <c r="F39" s="24" t="n"/>
      <c r="G39" s="24" t="n"/>
    </row>
    <row r="40">
      <c r="A40" s="26" t="n"/>
      <c r="B40" s="27" t="n"/>
      <c r="C40" s="28" t="n"/>
      <c r="D40" s="28" t="n"/>
      <c r="E40" s="28" t="n"/>
      <c r="F40" s="27" t="n"/>
      <c r="G40" s="27" t="n"/>
    </row>
    <row r="41">
      <c r="A41" s="23" t="n"/>
      <c r="B41" s="24" t="n"/>
      <c r="C41" s="25" t="n"/>
      <c r="D41" s="25" t="n"/>
      <c r="E41" s="25" t="n"/>
      <c r="F41" s="24" t="n"/>
      <c r="G41" s="24" t="n"/>
    </row>
    <row r="42">
      <c r="A42" s="26" t="n"/>
      <c r="B42" s="27" t="n"/>
      <c r="C42" s="28" t="n"/>
      <c r="D42" s="28" t="n"/>
      <c r="E42" s="28" t="n"/>
      <c r="F42" s="27" t="n"/>
      <c r="G42" s="27" t="n"/>
    </row>
    <row r="43">
      <c r="A43" s="23" t="n"/>
      <c r="B43" s="24" t="n"/>
      <c r="C43" s="25" t="n"/>
      <c r="D43" s="25" t="n"/>
      <c r="E43" s="25" t="n"/>
      <c r="F43" s="24" t="n"/>
      <c r="G43" s="24" t="n"/>
    </row>
    <row r="44">
      <c r="A44" s="26" t="n"/>
      <c r="B44" s="27" t="n"/>
      <c r="C44" s="28" t="n"/>
      <c r="D44" s="28" t="n"/>
      <c r="E44" s="28" t="n"/>
      <c r="F44" s="27" t="n"/>
      <c r="G44" s="27" t="n"/>
    </row>
    <row r="45">
      <c r="A45" s="23" t="n"/>
      <c r="B45" s="24" t="n"/>
      <c r="C45" s="25" t="n"/>
      <c r="D45" s="25" t="n"/>
      <c r="E45" s="25" t="n"/>
      <c r="F45" s="24" t="n"/>
      <c r="G45" s="24" t="n"/>
    </row>
    <row r="46">
      <c r="A46" s="26" t="n"/>
      <c r="B46" s="27" t="n"/>
      <c r="C46" s="28" t="n"/>
      <c r="D46" s="28" t="n"/>
      <c r="E46" s="28" t="n"/>
      <c r="F46" s="27" t="n"/>
      <c r="G46" s="27" t="n"/>
    </row>
    <row r="47">
      <c r="A47" s="23" t="n"/>
      <c r="B47" s="24" t="n"/>
      <c r="C47" s="25" t="n"/>
      <c r="D47" s="25" t="n"/>
      <c r="E47" s="25" t="n"/>
      <c r="F47" s="24" t="n"/>
      <c r="G47" s="24" t="n"/>
    </row>
    <row r="48">
      <c r="A48" s="26" t="n"/>
      <c r="B48" s="27" t="n"/>
      <c r="C48" s="28" t="n"/>
      <c r="D48" s="28" t="n"/>
      <c r="E48" s="28" t="n"/>
      <c r="F48" s="27" t="n"/>
      <c r="G48" s="27" t="n"/>
    </row>
    <row r="49">
      <c r="A49" s="23" t="n"/>
      <c r="B49" s="24" t="n"/>
      <c r="C49" s="25" t="n"/>
      <c r="D49" s="25" t="n"/>
      <c r="E49" s="25" t="n"/>
      <c r="F49" s="24" t="n"/>
      <c r="G49" s="24" t="n"/>
    </row>
    <row r="50">
      <c r="A50" s="26" t="n"/>
      <c r="B50" s="27" t="n"/>
      <c r="C50" s="28" t="n"/>
      <c r="D50" s="28" t="n"/>
      <c r="E50" s="28" t="n"/>
      <c r="F50" s="27" t="n"/>
      <c r="G50" s="27" t="n"/>
    </row>
    <row r="51">
      <c r="A51" s="23" t="n"/>
      <c r="B51" s="24" t="n"/>
      <c r="C51" s="25" t="n"/>
      <c r="D51" s="25" t="n"/>
      <c r="E51" s="25" t="n"/>
      <c r="F51" s="24" t="n"/>
      <c r="G51" s="24" t="n"/>
    </row>
    <row r="52">
      <c r="A52" s="26" t="n"/>
      <c r="B52" s="27" t="n"/>
      <c r="C52" s="28" t="n"/>
      <c r="D52" s="28" t="n"/>
      <c r="E52" s="28" t="n"/>
      <c r="F52" s="27" t="n"/>
      <c r="G52" s="27" t="n"/>
    </row>
    <row r="53">
      <c r="A53" s="23" t="n"/>
      <c r="B53" s="24" t="n"/>
      <c r="C53" s="25" t="n"/>
      <c r="D53" s="25" t="n"/>
      <c r="E53" s="25" t="n"/>
      <c r="F53" s="24" t="n"/>
      <c r="G53" s="24" t="n"/>
    </row>
    <row r="54">
      <c r="A54" s="26" t="n"/>
      <c r="B54" s="27" t="n"/>
      <c r="C54" s="28" t="n"/>
      <c r="D54" s="28" t="n"/>
      <c r="E54" s="28" t="n"/>
      <c r="F54" s="27" t="n"/>
      <c r="G54" s="27" t="n"/>
    </row>
    <row r="55">
      <c r="A55" s="23" t="n"/>
      <c r="B55" s="24" t="n"/>
      <c r="C55" s="25" t="n"/>
      <c r="D55" s="25" t="n"/>
      <c r="E55" s="25" t="n"/>
      <c r="F55" s="24" t="n"/>
      <c r="G55" s="24" t="n"/>
    </row>
    <row r="56">
      <c r="A56" s="26" t="n"/>
      <c r="B56" s="27" t="n"/>
      <c r="C56" s="28" t="n"/>
      <c r="D56" s="28" t="n"/>
      <c r="E56" s="28" t="n"/>
      <c r="F56" s="27" t="n"/>
      <c r="G56" s="27" t="n"/>
    </row>
    <row r="57">
      <c r="A57" s="23" t="n"/>
      <c r="B57" s="24" t="n"/>
      <c r="C57" s="25" t="n"/>
      <c r="D57" s="25" t="n"/>
      <c r="E57" s="25" t="n"/>
      <c r="F57" s="24" t="n"/>
      <c r="G57" s="24" t="n"/>
    </row>
    <row r="58">
      <c r="A58" s="26" t="n"/>
      <c r="B58" s="27" t="n"/>
      <c r="C58" s="28" t="n"/>
      <c r="D58" s="28" t="n"/>
      <c r="E58" s="28" t="n"/>
      <c r="F58" s="27" t="n"/>
      <c r="G58" s="27" t="n"/>
    </row>
    <row r="59">
      <c r="A59" s="23" t="n"/>
      <c r="B59" s="24" t="n"/>
      <c r="C59" s="25" t="n"/>
      <c r="D59" s="25" t="n"/>
      <c r="E59" s="25" t="n"/>
      <c r="F59" s="24" t="n"/>
      <c r="G59" s="24" t="n"/>
    </row>
    <row r="60">
      <c r="A60" s="26" t="n"/>
      <c r="B60" s="27" t="n"/>
      <c r="C60" s="28" t="n"/>
      <c r="D60" s="28" t="n"/>
      <c r="E60" s="28" t="n"/>
      <c r="F60" s="27" t="n"/>
      <c r="G60" s="27" t="n"/>
    </row>
    <row r="61">
      <c r="A61" s="23" t="n"/>
      <c r="B61" s="24" t="n"/>
      <c r="C61" s="25" t="n"/>
      <c r="D61" s="25" t="n"/>
      <c r="E61" s="25" t="n"/>
      <c r="F61" s="24" t="n"/>
      <c r="G61" s="24" t="n"/>
    </row>
    <row r="62">
      <c r="A62" s="26" t="n"/>
      <c r="B62" s="27" t="n"/>
      <c r="C62" s="28" t="n"/>
      <c r="D62" s="28" t="n"/>
      <c r="E62" s="28" t="n"/>
      <c r="F62" s="27" t="n"/>
      <c r="G62" s="27" t="n"/>
    </row>
    <row r="63">
      <c r="A63" s="23" t="n"/>
      <c r="B63" s="24" t="n"/>
      <c r="C63" s="25" t="n"/>
      <c r="D63" s="25" t="n"/>
      <c r="E63" s="25" t="n"/>
      <c r="F63" s="24" t="n"/>
      <c r="G63" s="24" t="n"/>
    </row>
    <row r="64">
      <c r="A64" s="26" t="n"/>
      <c r="B64" s="27" t="n"/>
      <c r="C64" s="28" t="n"/>
      <c r="D64" s="28" t="n"/>
      <c r="E64" s="28" t="n"/>
      <c r="F64" s="27" t="n"/>
      <c r="G64" s="27" t="n"/>
    </row>
  </sheetData>
  <mergeCells count="2">
    <mergeCell ref="A2:G2"/>
    <mergeCell ref="A1:G1"/>
  </mergeCells>
  <conditionalFormatting sqref="G5:G64">
    <cfRule type="cellIs" priority="1" operator="equal" dxfId="0">
      <formula>"Published"</formula>
    </cfRule>
    <cfRule type="cellIs" priority="2" operator="equal" dxfId="1">
      <formula>"Scheduled"</formula>
    </cfRule>
    <cfRule type="cellIs" priority="3" operator="equal" dxfId="2">
      <formula>"In Progress"</formula>
    </cfRule>
    <cfRule type="cellIs" priority="4" operator="equal" dxfId="3">
      <formula>"Review"</formula>
    </cfRule>
    <cfRule type="cellIs" priority="5" operator="equal" dxfId="4">
      <formula>"Idea"</formula>
    </cfRule>
  </conditionalFormatting>
  <dataValidations count="4">
    <dataValidation sqref="B5:B64" showDropDown="0" showInputMessage="0" showErrorMessage="0" allowBlank="1" type="list">
      <formula1>=PlatformList</formula1>
    </dataValidation>
    <dataValidation sqref="D5:D64" showDropDown="0" showInputMessage="0" showErrorMessage="0" allowBlank="1" type="list">
      <formula1>=CampaignList</formula1>
    </dataValidation>
    <dataValidation sqref="F5:F64" showDropDown="0" showInputMessage="0" showErrorMessage="0" allowBlank="1" type="list">
      <formula1>=PriorityList</formula1>
    </dataValidation>
    <dataValidation sqref="G5:G64" showDropDown="0" showInputMessage="0" showErrorMessage="0" allowBlank="1" type="list">
      <formula1>=ContentStatusList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3" customWidth="1" min="4" max="4"/>
    <col width="14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🎬  CONTENT PIPELINE</t>
        </is>
      </c>
    </row>
    <row r="2" ht="22" customHeight="1">
      <c r="A2" s="2" t="inlineStr">
        <is>
          <t xml:space="preserve">  Every piece, every stage — from brainstorm to published, with live progress.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Title</t>
        </is>
      </c>
      <c r="B4" s="7" t="inlineStr">
        <is>
          <t>Platform</t>
        </is>
      </c>
      <c r="C4" s="7" t="inlineStr">
        <is>
          <t>Owner</t>
        </is>
      </c>
      <c r="D4" s="7" t="inlineStr">
        <is>
          <t>Due Date</t>
        </is>
      </c>
      <c r="E4" s="7" t="inlineStr">
        <is>
          <t>Stage</t>
        </is>
      </c>
      <c r="F4" s="7" t="inlineStr">
        <is>
          <t>Progress</t>
        </is>
      </c>
      <c r="G4" s="7" t="inlineStr">
        <is>
          <t>Notes</t>
        </is>
      </c>
    </row>
    <row r="5">
      <c r="A5" s="25" t="inlineStr">
        <is>
          <t>Full content workflow (2024)</t>
        </is>
      </c>
      <c r="B5" s="24" t="inlineStr">
        <is>
          <t>YouTube</t>
        </is>
      </c>
      <c r="C5" s="25" t="inlineStr">
        <is>
          <t>Ava</t>
        </is>
      </c>
      <c r="D5" s="23" t="n">
        <v>46207</v>
      </c>
      <c r="E5" s="24" t="inlineStr">
        <is>
          <t>Editing</t>
        </is>
      </c>
      <c r="F5" s="29" t="n">
        <v>0.8</v>
      </c>
      <c r="G5" s="25" t="inlineStr">
        <is>
          <t>Final cut review</t>
        </is>
      </c>
    </row>
    <row r="6">
      <c r="A6" s="28" t="inlineStr">
        <is>
          <t>Launch week newsletter</t>
        </is>
      </c>
      <c r="B6" s="27" t="inlineStr">
        <is>
          <t>Newsletter</t>
        </is>
      </c>
      <c r="C6" s="28" t="inlineStr">
        <is>
          <t>Ava</t>
        </is>
      </c>
      <c r="D6" s="26" t="n">
        <v>46208</v>
      </c>
      <c r="E6" s="27" t="inlineStr">
        <is>
          <t>Review</t>
        </is>
      </c>
      <c r="F6" s="30" t="n">
        <v>0.9</v>
      </c>
      <c r="G6" s="28" t="inlineStr">
        <is>
          <t>Proofing</t>
        </is>
      </c>
    </row>
    <row r="7">
      <c r="A7" s="25" t="inlineStr">
        <is>
          <t>Template walkthrough reel</t>
        </is>
      </c>
      <c r="B7" s="24" t="inlineStr">
        <is>
          <t>IG Reels</t>
        </is>
      </c>
      <c r="C7" s="25" t="inlineStr">
        <is>
          <t>Editor — Jon</t>
        </is>
      </c>
      <c r="D7" s="23" t="n">
        <v>46210</v>
      </c>
      <c r="E7" s="24" t="inlineStr">
        <is>
          <t>Graphics</t>
        </is>
      </c>
      <c r="F7" s="29" t="n">
        <v>0.65</v>
      </c>
      <c r="G7" s="25" t="inlineStr">
        <is>
          <t>Captions next</t>
        </is>
      </c>
    </row>
    <row r="8">
      <c r="A8" s="28" t="inlineStr">
        <is>
          <t>Riverside sponsor video</t>
        </is>
      </c>
      <c r="B8" s="27" t="inlineStr">
        <is>
          <t>YouTube</t>
        </is>
      </c>
      <c r="C8" s="28" t="inlineStr">
        <is>
          <t>Ava</t>
        </is>
      </c>
      <c r="D8" s="26" t="n">
        <v>46212</v>
      </c>
      <c r="E8" s="27" t="inlineStr">
        <is>
          <t>Script</t>
        </is>
      </c>
      <c r="F8" s="30" t="n">
        <v>0.4</v>
      </c>
      <c r="G8" s="28" t="inlineStr">
        <is>
          <t>Brief approved</t>
        </is>
      </c>
    </row>
    <row r="9">
      <c r="A9" s="25" t="inlineStr">
        <is>
          <t>Pricing your products (pod)</t>
        </is>
      </c>
      <c r="B9" s="24" t="inlineStr">
        <is>
          <t>Podcast</t>
        </is>
      </c>
      <c r="C9" s="25" t="inlineStr">
        <is>
          <t>Ava</t>
        </is>
      </c>
      <c r="D9" s="23" t="n">
        <v>46216</v>
      </c>
      <c r="E9" s="24" t="inlineStr">
        <is>
          <t>Filming</t>
        </is>
      </c>
      <c r="F9" s="29" t="n">
        <v>0.55</v>
      </c>
      <c r="G9" s="25" t="inlineStr">
        <is>
          <t>Recorded, editing</t>
        </is>
      </c>
    </row>
    <row r="10">
      <c r="A10" s="28" t="inlineStr">
        <is>
          <t>SEO deep-dive blog</t>
        </is>
      </c>
      <c r="B10" s="27" t="inlineStr">
        <is>
          <t>Blog</t>
        </is>
      </c>
      <c r="C10" s="28" t="inlineStr">
        <is>
          <t>Writer — Mia</t>
        </is>
      </c>
      <c r="D10" s="26" t="n">
        <v>46218</v>
      </c>
      <c r="E10" s="27" t="inlineStr">
        <is>
          <t>Outline</t>
        </is>
      </c>
      <c r="F10" s="30" t="n">
        <v>0.3</v>
      </c>
      <c r="G10" s="28" t="inlineStr">
        <is>
          <t>Keyword map done</t>
        </is>
      </c>
    </row>
    <row r="11">
      <c r="A11" s="25" t="inlineStr">
        <is>
          <t>Shorts from ep. 12</t>
        </is>
      </c>
      <c r="B11" s="24" t="inlineStr">
        <is>
          <t>YouTube</t>
        </is>
      </c>
      <c r="C11" s="25" t="inlineStr">
        <is>
          <t>Editor — Jon</t>
        </is>
      </c>
      <c r="D11" s="23" t="n">
        <v>46211</v>
      </c>
      <c r="E11" s="24" t="inlineStr">
        <is>
          <t>Editing</t>
        </is>
      </c>
      <c r="F11" s="29" t="n">
        <v>0.7</v>
      </c>
      <c r="G11" s="25" t="inlineStr">
        <is>
          <t>3 of 5 cut</t>
        </is>
      </c>
    </row>
    <row r="12">
      <c r="A12" s="28" t="inlineStr">
        <is>
          <t>Monthly recap</t>
        </is>
      </c>
      <c r="B12" s="27" t="inlineStr">
        <is>
          <t>Newsletter</t>
        </is>
      </c>
      <c r="C12" s="28" t="inlineStr">
        <is>
          <t>Ava</t>
        </is>
      </c>
      <c r="D12" s="26" t="n">
        <v>46220</v>
      </c>
      <c r="E12" s="27" t="inlineStr">
        <is>
          <t>Brainstorm</t>
        </is>
      </c>
      <c r="F12" s="30" t="n">
        <v>0.1</v>
      </c>
      <c r="G12" s="28" t="inlineStr">
        <is>
          <t>Collecting wins</t>
        </is>
      </c>
    </row>
    <row r="13">
      <c r="A13" s="25" t="n"/>
      <c r="B13" s="24" t="n"/>
      <c r="C13" s="25" t="n"/>
      <c r="D13" s="23" t="n"/>
      <c r="E13" s="24" t="n"/>
      <c r="F13" s="29" t="n"/>
      <c r="G13" s="25" t="n"/>
    </row>
    <row r="14">
      <c r="A14" s="28" t="n"/>
      <c r="B14" s="27" t="n"/>
      <c r="C14" s="28" t="n"/>
      <c r="D14" s="26" t="n"/>
      <c r="E14" s="27" t="n"/>
      <c r="F14" s="30" t="n"/>
      <c r="G14" s="28" t="n"/>
    </row>
    <row r="15">
      <c r="A15" s="25" t="n"/>
      <c r="B15" s="24" t="n"/>
      <c r="C15" s="25" t="n"/>
      <c r="D15" s="23" t="n"/>
      <c r="E15" s="24" t="n"/>
      <c r="F15" s="29" t="n"/>
      <c r="G15" s="25" t="n"/>
    </row>
    <row r="16">
      <c r="A16" s="28" t="n"/>
      <c r="B16" s="27" t="n"/>
      <c r="C16" s="28" t="n"/>
      <c r="D16" s="26" t="n"/>
      <c r="E16" s="27" t="n"/>
      <c r="F16" s="30" t="n"/>
      <c r="G16" s="28" t="n"/>
    </row>
    <row r="17">
      <c r="A17" s="25" t="n"/>
      <c r="B17" s="24" t="n"/>
      <c r="C17" s="25" t="n"/>
      <c r="D17" s="23" t="n"/>
      <c r="E17" s="24" t="n"/>
      <c r="F17" s="29" t="n"/>
      <c r="G17" s="25" t="n"/>
    </row>
    <row r="18">
      <c r="A18" s="28" t="n"/>
      <c r="B18" s="27" t="n"/>
      <c r="C18" s="28" t="n"/>
      <c r="D18" s="26" t="n"/>
      <c r="E18" s="27" t="n"/>
      <c r="F18" s="30" t="n"/>
      <c r="G18" s="28" t="n"/>
    </row>
    <row r="19">
      <c r="A19" s="25" t="n"/>
      <c r="B19" s="24" t="n"/>
      <c r="C19" s="25" t="n"/>
      <c r="D19" s="23" t="n"/>
      <c r="E19" s="24" t="n"/>
      <c r="F19" s="29" t="n"/>
      <c r="G19" s="25" t="n"/>
    </row>
    <row r="20">
      <c r="A20" s="28" t="n"/>
      <c r="B20" s="27" t="n"/>
      <c r="C20" s="28" t="n"/>
      <c r="D20" s="26" t="n"/>
      <c r="E20" s="27" t="n"/>
      <c r="F20" s="30" t="n"/>
      <c r="G20" s="28" t="n"/>
    </row>
    <row r="21">
      <c r="A21" s="25" t="n"/>
      <c r="B21" s="24" t="n"/>
      <c r="C21" s="25" t="n"/>
      <c r="D21" s="23" t="n"/>
      <c r="E21" s="24" t="n"/>
      <c r="F21" s="29" t="n"/>
      <c r="G21" s="25" t="n"/>
    </row>
    <row r="22">
      <c r="A22" s="28" t="n"/>
      <c r="B22" s="27" t="n"/>
      <c r="C22" s="28" t="n"/>
      <c r="D22" s="26" t="n"/>
      <c r="E22" s="27" t="n"/>
      <c r="F22" s="30" t="n"/>
      <c r="G22" s="28" t="n"/>
    </row>
    <row r="23">
      <c r="A23" s="25" t="n"/>
      <c r="B23" s="24" t="n"/>
      <c r="C23" s="25" t="n"/>
      <c r="D23" s="23" t="n"/>
      <c r="E23" s="24" t="n"/>
      <c r="F23" s="29" t="n"/>
      <c r="G23" s="25" t="n"/>
    </row>
    <row r="24">
      <c r="A24" s="28" t="n"/>
      <c r="B24" s="27" t="n"/>
      <c r="C24" s="28" t="n"/>
      <c r="D24" s="26" t="n"/>
      <c r="E24" s="27" t="n"/>
      <c r="F24" s="30" t="n"/>
      <c r="G24" s="28" t="n"/>
    </row>
    <row r="25">
      <c r="A25" s="25" t="n"/>
      <c r="B25" s="24" t="n"/>
      <c r="C25" s="25" t="n"/>
      <c r="D25" s="23" t="n"/>
      <c r="E25" s="24" t="n"/>
      <c r="F25" s="29" t="n"/>
      <c r="G25" s="25" t="n"/>
    </row>
    <row r="26">
      <c r="A26" s="28" t="n"/>
      <c r="B26" s="27" t="n"/>
      <c r="C26" s="28" t="n"/>
      <c r="D26" s="26" t="n"/>
      <c r="E26" s="27" t="n"/>
      <c r="F26" s="30" t="n"/>
      <c r="G26" s="28" t="n"/>
    </row>
    <row r="27">
      <c r="A27" s="25" t="n"/>
      <c r="B27" s="24" t="n"/>
      <c r="C27" s="25" t="n"/>
      <c r="D27" s="23" t="n"/>
      <c r="E27" s="24" t="n"/>
      <c r="F27" s="29" t="n"/>
      <c r="G27" s="25" t="n"/>
    </row>
    <row r="28">
      <c r="A28" s="28" t="n"/>
      <c r="B28" s="27" t="n"/>
      <c r="C28" s="28" t="n"/>
      <c r="D28" s="26" t="n"/>
      <c r="E28" s="27" t="n"/>
      <c r="F28" s="30" t="n"/>
      <c r="G28" s="28" t="n"/>
    </row>
    <row r="29">
      <c r="A29" s="25" t="n"/>
      <c r="B29" s="24" t="n"/>
      <c r="C29" s="25" t="n"/>
      <c r="D29" s="23" t="n"/>
      <c r="E29" s="24" t="n"/>
      <c r="F29" s="29" t="n"/>
      <c r="G29" s="25" t="n"/>
    </row>
    <row r="30">
      <c r="A30" s="28" t="n"/>
      <c r="B30" s="27" t="n"/>
      <c r="C30" s="28" t="n"/>
      <c r="D30" s="26" t="n"/>
      <c r="E30" s="27" t="n"/>
      <c r="F30" s="30" t="n"/>
      <c r="G30" s="28" t="n"/>
    </row>
    <row r="31">
      <c r="A31" s="25" t="n"/>
      <c r="B31" s="24" t="n"/>
      <c r="C31" s="25" t="n"/>
      <c r="D31" s="23" t="n"/>
      <c r="E31" s="24" t="n"/>
      <c r="F31" s="29" t="n"/>
      <c r="G31" s="25" t="n"/>
    </row>
    <row r="32">
      <c r="A32" s="28" t="n"/>
      <c r="B32" s="27" t="n"/>
      <c r="C32" s="28" t="n"/>
      <c r="D32" s="26" t="n"/>
      <c r="E32" s="27" t="n"/>
      <c r="F32" s="30" t="n"/>
      <c r="G32" s="28" t="n"/>
    </row>
    <row r="33">
      <c r="A33" s="25" t="n"/>
      <c r="B33" s="24" t="n"/>
      <c r="C33" s="25" t="n"/>
      <c r="D33" s="23" t="n"/>
      <c r="E33" s="24" t="n"/>
      <c r="F33" s="29" t="n"/>
      <c r="G33" s="25" t="n"/>
    </row>
    <row r="34">
      <c r="A34" s="28" t="n"/>
      <c r="B34" s="27" t="n"/>
      <c r="C34" s="28" t="n"/>
      <c r="D34" s="26" t="n"/>
      <c r="E34" s="27" t="n"/>
      <c r="F34" s="30" t="n"/>
      <c r="G34" s="28" t="n"/>
    </row>
    <row r="35">
      <c r="A35" s="25" t="n"/>
      <c r="B35" s="24" t="n"/>
      <c r="C35" s="25" t="n"/>
      <c r="D35" s="23" t="n"/>
      <c r="E35" s="24" t="n"/>
      <c r="F35" s="29" t="n"/>
      <c r="G35" s="25" t="n"/>
    </row>
    <row r="36">
      <c r="A36" s="28" t="n"/>
      <c r="B36" s="27" t="n"/>
      <c r="C36" s="28" t="n"/>
      <c r="D36" s="26" t="n"/>
      <c r="E36" s="27" t="n"/>
      <c r="F36" s="30" t="n"/>
      <c r="G36" s="28" t="n"/>
    </row>
    <row r="37">
      <c r="A37" s="25" t="n"/>
      <c r="B37" s="24" t="n"/>
      <c r="C37" s="25" t="n"/>
      <c r="D37" s="23" t="n"/>
      <c r="E37" s="24" t="n"/>
      <c r="F37" s="29" t="n"/>
      <c r="G37" s="25" t="n"/>
    </row>
    <row r="38">
      <c r="A38" s="28" t="n"/>
      <c r="B38" s="27" t="n"/>
      <c r="C38" s="28" t="n"/>
      <c r="D38" s="26" t="n"/>
      <c r="E38" s="27" t="n"/>
      <c r="F38" s="30" t="n"/>
      <c r="G38" s="28" t="n"/>
    </row>
    <row r="39">
      <c r="A39" s="25" t="n"/>
      <c r="B39" s="24" t="n"/>
      <c r="C39" s="25" t="n"/>
      <c r="D39" s="23" t="n"/>
      <c r="E39" s="24" t="n"/>
      <c r="F39" s="29" t="n"/>
      <c r="G39" s="25" t="n"/>
    </row>
    <row r="40">
      <c r="A40" s="28" t="n"/>
      <c r="B40" s="27" t="n"/>
      <c r="C40" s="28" t="n"/>
      <c r="D40" s="26" t="n"/>
      <c r="E40" s="27" t="n"/>
      <c r="F40" s="30" t="n"/>
      <c r="G40" s="28" t="n"/>
    </row>
    <row r="41">
      <c r="A41" s="25" t="n"/>
      <c r="B41" s="24" t="n"/>
      <c r="C41" s="25" t="n"/>
      <c r="D41" s="23" t="n"/>
      <c r="E41" s="24" t="n"/>
      <c r="F41" s="29" t="n"/>
      <c r="G41" s="25" t="n"/>
    </row>
    <row r="42">
      <c r="A42" s="28" t="n"/>
      <c r="B42" s="27" t="n"/>
      <c r="C42" s="28" t="n"/>
      <c r="D42" s="26" t="n"/>
      <c r="E42" s="27" t="n"/>
      <c r="F42" s="30" t="n"/>
      <c r="G42" s="28" t="n"/>
    </row>
    <row r="43">
      <c r="A43" s="25" t="n"/>
      <c r="B43" s="24" t="n"/>
      <c r="C43" s="25" t="n"/>
      <c r="D43" s="23" t="n"/>
      <c r="E43" s="24" t="n"/>
      <c r="F43" s="29" t="n"/>
      <c r="G43" s="25" t="n"/>
    </row>
    <row r="44">
      <c r="A44" s="28" t="n"/>
      <c r="B44" s="27" t="n"/>
      <c r="C44" s="28" t="n"/>
      <c r="D44" s="26" t="n"/>
      <c r="E44" s="27" t="n"/>
      <c r="F44" s="30" t="n"/>
      <c r="G44" s="28" t="n"/>
    </row>
  </sheetData>
  <mergeCells count="2">
    <mergeCell ref="A2:G2"/>
    <mergeCell ref="A1:G1"/>
  </mergeCells>
  <conditionalFormatting sqref="F5:F44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4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8" customWidth="1" min="4" max="4"/>
    <col width="28" customWidth="1" min="5" max="5"/>
    <col width="9" customWidth="1" min="6" max="6"/>
    <col width="9" customWidth="1" min="7" max="7"/>
    <col width="11" customWidth="1" min="8" max="8"/>
    <col width="12" customWidth="1" min="9" max="9"/>
  </cols>
  <sheetData>
    <row r="1" ht="46" customHeight="1">
      <c r="A1" s="1" t="inlineStr">
        <is>
          <t xml:space="preserve">  💡  CONTENT IDEA VAULT</t>
        </is>
      </c>
    </row>
    <row r="2" ht="22" customHeight="1">
      <c r="A2" s="2" t="inlineStr">
        <is>
          <t xml:space="preserve">  Never run dry — capture ideas and score impact vs effort so the best rise up.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Idea</t>
        </is>
      </c>
      <c r="B4" s="7" t="inlineStr">
        <is>
          <t>Category</t>
        </is>
      </c>
      <c r="C4" s="7" t="inlineStr">
        <is>
          <t>Platform</t>
        </is>
      </c>
      <c r="D4" s="7" t="inlineStr">
        <is>
          <t>Keyword</t>
        </is>
      </c>
      <c r="E4" s="7" t="inlineStr">
        <is>
          <t>Hook</t>
        </is>
      </c>
      <c r="F4" s="7" t="inlineStr">
        <is>
          <t>Impact</t>
        </is>
      </c>
      <c r="G4" s="7" t="inlineStr">
        <is>
          <t>Effort</t>
        </is>
      </c>
      <c r="H4" s="7" t="inlineStr">
        <is>
          <t>Score</t>
        </is>
      </c>
      <c r="I4" s="7" t="inlineStr">
        <is>
          <t>Status</t>
        </is>
      </c>
    </row>
    <row r="5">
      <c r="A5" s="25" t="inlineStr">
        <is>
          <t>Creator tax masterclass</t>
        </is>
      </c>
      <c r="B5" s="24" t="inlineStr">
        <is>
          <t>Education</t>
        </is>
      </c>
      <c r="C5" s="24" t="inlineStr">
        <is>
          <t>YouTube</t>
        </is>
      </c>
      <c r="D5" s="25" t="inlineStr">
        <is>
          <t>creator taxes</t>
        </is>
      </c>
      <c r="E5" s="25" t="inlineStr">
        <is>
          <t>The tax bill that shocked me</t>
        </is>
      </c>
      <c r="F5" s="31" t="n">
        <v>9</v>
      </c>
      <c r="G5" s="31" t="n">
        <v>6</v>
      </c>
      <c r="H5" s="32">
        <f>IFERROR(F5/G5,0)</f>
        <v/>
      </c>
      <c r="I5" s="24" t="inlineStr">
        <is>
          <t>Planned</t>
        </is>
      </c>
    </row>
    <row r="6">
      <c r="A6" s="28" t="inlineStr">
        <is>
          <t>Notion vs Sheets for creators</t>
        </is>
      </c>
      <c r="B6" s="27" t="inlineStr">
        <is>
          <t>Tools</t>
        </is>
      </c>
      <c r="C6" s="27" t="inlineStr">
        <is>
          <t>YouTube</t>
        </is>
      </c>
      <c r="D6" s="28" t="inlineStr">
        <is>
          <t>notion vs sheets</t>
        </is>
      </c>
      <c r="E6" s="28" t="inlineStr">
        <is>
          <t>I switched back. Here's why</t>
        </is>
      </c>
      <c r="F6" s="33" t="n">
        <v>8</v>
      </c>
      <c r="G6" s="33" t="n">
        <v>4</v>
      </c>
      <c r="H6" s="34">
        <f>IFERROR(F6/G6,0)</f>
        <v/>
      </c>
      <c r="I6" s="27" t="inlineStr">
        <is>
          <t>Idea</t>
        </is>
      </c>
    </row>
    <row r="7">
      <c r="A7" s="25" t="inlineStr">
        <is>
          <t>30-day posting challenge</t>
        </is>
      </c>
      <c r="B7" s="24" t="inlineStr">
        <is>
          <t>Growth</t>
        </is>
      </c>
      <c r="C7" s="24" t="inlineStr">
        <is>
          <t>TikTok</t>
        </is>
      </c>
      <c r="D7" s="25" t="inlineStr">
        <is>
          <t>posting consistency</t>
        </is>
      </c>
      <c r="E7" s="25" t="inlineStr">
        <is>
          <t>Day 1 of posting daily</t>
        </is>
      </c>
      <c r="F7" s="31" t="n">
        <v>7</v>
      </c>
      <c r="G7" s="31" t="n">
        <v>3</v>
      </c>
      <c r="H7" s="32">
        <f>IFERROR(F7/G7,0)</f>
        <v/>
      </c>
      <c r="I7" s="24" t="inlineStr">
        <is>
          <t>Idea</t>
        </is>
      </c>
    </row>
    <row r="8">
      <c r="A8" s="28" t="inlineStr">
        <is>
          <t>How I price digital products</t>
        </is>
      </c>
      <c r="B8" s="27" t="inlineStr">
        <is>
          <t>Money</t>
        </is>
      </c>
      <c r="C8" s="27" t="inlineStr">
        <is>
          <t>Newsletter</t>
        </is>
      </c>
      <c r="D8" s="28" t="inlineStr">
        <is>
          <t>digital product pricing</t>
        </is>
      </c>
      <c r="E8" s="28" t="inlineStr">
        <is>
          <t>$9 vs $49: what sold more</t>
        </is>
      </c>
      <c r="F8" s="33" t="n">
        <v>9</v>
      </c>
      <c r="G8" s="33" t="n">
        <v>2</v>
      </c>
      <c r="H8" s="34">
        <f>IFERROR(F8/G8,0)</f>
        <v/>
      </c>
      <c r="I8" s="27" t="inlineStr">
        <is>
          <t>Planned</t>
        </is>
      </c>
    </row>
    <row r="9">
      <c r="A9" s="25" t="inlineStr">
        <is>
          <t>Studio tour + gear</t>
        </is>
      </c>
      <c r="B9" s="24" t="inlineStr">
        <is>
          <t>Behind-scenes</t>
        </is>
      </c>
      <c r="C9" s="24" t="inlineStr">
        <is>
          <t>YouTube</t>
        </is>
      </c>
      <c r="D9" s="25" t="inlineStr">
        <is>
          <t>creator studio setup</t>
        </is>
      </c>
      <c r="E9" s="25" t="inlineStr">
        <is>
          <t>My $2k home studio</t>
        </is>
      </c>
      <c r="F9" s="31" t="n">
        <v>6</v>
      </c>
      <c r="G9" s="31" t="n">
        <v>5</v>
      </c>
      <c r="H9" s="32">
        <f>IFERROR(F9/G9,0)</f>
        <v/>
      </c>
      <c r="I9" s="24" t="inlineStr">
        <is>
          <t>Idea</t>
        </is>
      </c>
    </row>
    <row r="10">
      <c r="A10" s="28" t="inlineStr">
        <is>
          <t>Faceless content playbook</t>
        </is>
      </c>
      <c r="B10" s="27" t="inlineStr">
        <is>
          <t>Growth</t>
        </is>
      </c>
      <c r="C10" s="27" t="inlineStr">
        <is>
          <t>Blog</t>
        </is>
      </c>
      <c r="D10" s="28" t="inlineStr">
        <is>
          <t>faceless content</t>
        </is>
      </c>
      <c r="E10" s="28" t="inlineStr">
        <is>
          <t>No face, 100k followers</t>
        </is>
      </c>
      <c r="F10" s="33" t="n">
        <v>8</v>
      </c>
      <c r="G10" s="33" t="n">
        <v>4</v>
      </c>
      <c r="H10" s="34">
        <f>IFERROR(F10/G10,0)</f>
        <v/>
      </c>
      <c r="I10" s="27" t="inlineStr">
        <is>
          <t>Idea</t>
        </is>
      </c>
    </row>
    <row r="11">
      <c r="A11" s="25" t="inlineStr">
        <is>
          <t>Sponsorship email templates</t>
        </is>
      </c>
      <c r="B11" s="24" t="inlineStr">
        <is>
          <t>Money</t>
        </is>
      </c>
      <c r="C11" s="24" t="inlineStr">
        <is>
          <t>Newsletter</t>
        </is>
      </c>
      <c r="D11" s="25" t="inlineStr">
        <is>
          <t>sponsorship outreach</t>
        </is>
      </c>
      <c r="E11" s="25" t="inlineStr">
        <is>
          <t>The email that landed $3k</t>
        </is>
      </c>
      <c r="F11" s="31" t="n">
        <v>9</v>
      </c>
      <c r="G11" s="31" t="n">
        <v>2</v>
      </c>
      <c r="H11" s="32">
        <f>IFERROR(F11/G11,0)</f>
        <v/>
      </c>
      <c r="I11" s="24" t="inlineStr">
        <is>
          <t>Planned</t>
        </is>
      </c>
    </row>
    <row r="12">
      <c r="A12" s="28" t="inlineStr">
        <is>
          <t>Batch a month in a weekend</t>
        </is>
      </c>
      <c r="B12" s="27" t="inlineStr">
        <is>
          <t>Systems</t>
        </is>
      </c>
      <c r="C12" s="27" t="inlineStr">
        <is>
          <t>YouTube</t>
        </is>
      </c>
      <c r="D12" s="28" t="inlineStr">
        <is>
          <t>batch content</t>
        </is>
      </c>
      <c r="E12" s="28" t="inlineStr">
        <is>
          <t>How I film 12 videos in 2 days</t>
        </is>
      </c>
      <c r="F12" s="33" t="n">
        <v>8</v>
      </c>
      <c r="G12" s="33" t="n">
        <v>5</v>
      </c>
      <c r="H12" s="34">
        <f>IFERROR(F12/G12,0)</f>
        <v/>
      </c>
      <c r="I12" s="27" t="inlineStr">
        <is>
          <t>Idea</t>
        </is>
      </c>
    </row>
    <row r="13">
      <c r="A13" s="25" t="inlineStr">
        <is>
          <t>Repurposing 1 → 10</t>
        </is>
      </c>
      <c r="B13" s="24" t="inlineStr">
        <is>
          <t>Systems</t>
        </is>
      </c>
      <c r="C13" s="24" t="inlineStr">
        <is>
          <t>Carousel</t>
        </is>
      </c>
      <c r="D13" s="25" t="inlineStr">
        <is>
          <t>repurpose content</t>
        </is>
      </c>
      <c r="E13" s="25" t="inlineStr">
        <is>
          <t>1 video, 10 posts</t>
        </is>
      </c>
      <c r="F13" s="31" t="n">
        <v>7</v>
      </c>
      <c r="G13" s="31" t="n">
        <v>3</v>
      </c>
      <c r="H13" s="32">
        <f>IFERROR(F13/G13,0)</f>
        <v/>
      </c>
      <c r="I13" s="24" t="inlineStr">
        <is>
          <t>Idea</t>
        </is>
      </c>
    </row>
    <row r="14">
      <c r="A14" s="28" t="inlineStr">
        <is>
          <t>AI tools I actually use</t>
        </is>
      </c>
      <c r="B14" s="27" t="inlineStr">
        <is>
          <t>Tools</t>
        </is>
      </c>
      <c r="C14" s="27" t="inlineStr">
        <is>
          <t>TikTok</t>
        </is>
      </c>
      <c r="D14" s="28" t="inlineStr">
        <is>
          <t>ai for creators</t>
        </is>
      </c>
      <c r="E14" s="28" t="inlineStr">
        <is>
          <t>3 AI tools that save hours</t>
        </is>
      </c>
      <c r="F14" s="33" t="n">
        <v>6</v>
      </c>
      <c r="G14" s="33" t="n">
        <v>2</v>
      </c>
      <c r="H14" s="34">
        <f>IFERROR(F14/G14,0)</f>
        <v/>
      </c>
      <c r="I14" s="27" t="inlineStr">
        <is>
          <t>Idea</t>
        </is>
      </c>
    </row>
    <row r="15">
      <c r="A15" s="25" t="n"/>
      <c r="B15" s="24" t="n"/>
      <c r="C15" s="24" t="n"/>
      <c r="D15" s="25" t="n"/>
      <c r="E15" s="25" t="n"/>
      <c r="F15" s="31" t="n"/>
      <c r="G15" s="31" t="n"/>
      <c r="H15" s="32" t="n"/>
      <c r="I15" s="24" t="n"/>
    </row>
    <row r="16">
      <c r="A16" s="28" t="n"/>
      <c r="B16" s="27" t="n"/>
      <c r="C16" s="27" t="n"/>
      <c r="D16" s="28" t="n"/>
      <c r="E16" s="28" t="n"/>
      <c r="F16" s="33" t="n"/>
      <c r="G16" s="33" t="n"/>
      <c r="H16" s="34" t="n"/>
      <c r="I16" s="27" t="n"/>
    </row>
    <row r="17">
      <c r="A17" s="25" t="n"/>
      <c r="B17" s="24" t="n"/>
      <c r="C17" s="24" t="n"/>
      <c r="D17" s="25" t="n"/>
      <c r="E17" s="25" t="n"/>
      <c r="F17" s="31" t="n"/>
      <c r="G17" s="31" t="n"/>
      <c r="H17" s="32" t="n"/>
      <c r="I17" s="24" t="n"/>
    </row>
    <row r="18">
      <c r="A18" s="28" t="n"/>
      <c r="B18" s="27" t="n"/>
      <c r="C18" s="27" t="n"/>
      <c r="D18" s="28" t="n"/>
      <c r="E18" s="28" t="n"/>
      <c r="F18" s="33" t="n"/>
      <c r="G18" s="33" t="n"/>
      <c r="H18" s="34" t="n"/>
      <c r="I18" s="27" t="n"/>
    </row>
    <row r="19">
      <c r="A19" s="25" t="n"/>
      <c r="B19" s="24" t="n"/>
      <c r="C19" s="24" t="n"/>
      <c r="D19" s="25" t="n"/>
      <c r="E19" s="25" t="n"/>
      <c r="F19" s="31" t="n"/>
      <c r="G19" s="31" t="n"/>
      <c r="H19" s="32" t="n"/>
      <c r="I19" s="24" t="n"/>
    </row>
    <row r="20">
      <c r="A20" s="28" t="n"/>
      <c r="B20" s="27" t="n"/>
      <c r="C20" s="27" t="n"/>
      <c r="D20" s="28" t="n"/>
      <c r="E20" s="28" t="n"/>
      <c r="F20" s="33" t="n"/>
      <c r="G20" s="33" t="n"/>
      <c r="H20" s="34" t="n"/>
      <c r="I20" s="27" t="n"/>
    </row>
    <row r="21">
      <c r="A21" s="25" t="n"/>
      <c r="B21" s="24" t="n"/>
      <c r="C21" s="24" t="n"/>
      <c r="D21" s="25" t="n"/>
      <c r="E21" s="25" t="n"/>
      <c r="F21" s="31" t="n"/>
      <c r="G21" s="31" t="n"/>
      <c r="H21" s="32" t="n"/>
      <c r="I21" s="24" t="n"/>
    </row>
    <row r="22">
      <c r="A22" s="28" t="n"/>
      <c r="B22" s="27" t="n"/>
      <c r="C22" s="27" t="n"/>
      <c r="D22" s="28" t="n"/>
      <c r="E22" s="28" t="n"/>
      <c r="F22" s="33" t="n"/>
      <c r="G22" s="33" t="n"/>
      <c r="H22" s="34" t="n"/>
      <c r="I22" s="27" t="n"/>
    </row>
    <row r="23">
      <c r="A23" s="25" t="n"/>
      <c r="B23" s="24" t="n"/>
      <c r="C23" s="24" t="n"/>
      <c r="D23" s="25" t="n"/>
      <c r="E23" s="25" t="n"/>
      <c r="F23" s="31" t="n"/>
      <c r="G23" s="31" t="n"/>
      <c r="H23" s="32" t="n"/>
      <c r="I23" s="24" t="n"/>
    </row>
    <row r="24">
      <c r="A24" s="28" t="n"/>
      <c r="B24" s="27" t="n"/>
      <c r="C24" s="27" t="n"/>
      <c r="D24" s="28" t="n"/>
      <c r="E24" s="28" t="n"/>
      <c r="F24" s="33" t="n"/>
      <c r="G24" s="33" t="n"/>
      <c r="H24" s="34" t="n"/>
      <c r="I24" s="27" t="n"/>
    </row>
    <row r="25">
      <c r="A25" s="25" t="n"/>
      <c r="B25" s="24" t="n"/>
      <c r="C25" s="24" t="n"/>
      <c r="D25" s="25" t="n"/>
      <c r="E25" s="25" t="n"/>
      <c r="F25" s="31" t="n"/>
      <c r="G25" s="31" t="n"/>
      <c r="H25" s="32" t="n"/>
      <c r="I25" s="24" t="n"/>
    </row>
    <row r="26">
      <c r="A26" s="28" t="n"/>
      <c r="B26" s="27" t="n"/>
      <c r="C26" s="27" t="n"/>
      <c r="D26" s="28" t="n"/>
      <c r="E26" s="28" t="n"/>
      <c r="F26" s="33" t="n"/>
      <c r="G26" s="33" t="n"/>
      <c r="H26" s="34" t="n"/>
      <c r="I26" s="27" t="n"/>
    </row>
    <row r="27">
      <c r="A27" s="25" t="n"/>
      <c r="B27" s="24" t="n"/>
      <c r="C27" s="24" t="n"/>
      <c r="D27" s="25" t="n"/>
      <c r="E27" s="25" t="n"/>
      <c r="F27" s="31" t="n"/>
      <c r="G27" s="31" t="n"/>
      <c r="H27" s="32" t="n"/>
      <c r="I27" s="24" t="n"/>
    </row>
    <row r="28">
      <c r="A28" s="28" t="n"/>
      <c r="B28" s="27" t="n"/>
      <c r="C28" s="27" t="n"/>
      <c r="D28" s="28" t="n"/>
      <c r="E28" s="28" t="n"/>
      <c r="F28" s="33" t="n"/>
      <c r="G28" s="33" t="n"/>
      <c r="H28" s="34" t="n"/>
      <c r="I28" s="27" t="n"/>
    </row>
    <row r="29">
      <c r="A29" s="25" t="n"/>
      <c r="B29" s="24" t="n"/>
      <c r="C29" s="24" t="n"/>
      <c r="D29" s="25" t="n"/>
      <c r="E29" s="25" t="n"/>
      <c r="F29" s="31" t="n"/>
      <c r="G29" s="31" t="n"/>
      <c r="H29" s="32" t="n"/>
      <c r="I29" s="24" t="n"/>
    </row>
    <row r="30">
      <c r="A30" s="28" t="n"/>
      <c r="B30" s="27" t="n"/>
      <c r="C30" s="27" t="n"/>
      <c r="D30" s="28" t="n"/>
      <c r="E30" s="28" t="n"/>
      <c r="F30" s="33" t="n"/>
      <c r="G30" s="33" t="n"/>
      <c r="H30" s="34" t="n"/>
      <c r="I30" s="27" t="n"/>
    </row>
    <row r="31">
      <c r="A31" s="25" t="n"/>
      <c r="B31" s="24" t="n"/>
      <c r="C31" s="24" t="n"/>
      <c r="D31" s="25" t="n"/>
      <c r="E31" s="25" t="n"/>
      <c r="F31" s="31" t="n"/>
      <c r="G31" s="31" t="n"/>
      <c r="H31" s="32" t="n"/>
      <c r="I31" s="24" t="n"/>
    </row>
    <row r="32">
      <c r="A32" s="28" t="n"/>
      <c r="B32" s="27" t="n"/>
      <c r="C32" s="27" t="n"/>
      <c r="D32" s="28" t="n"/>
      <c r="E32" s="28" t="n"/>
      <c r="F32" s="33" t="n"/>
      <c r="G32" s="33" t="n"/>
      <c r="H32" s="34" t="n"/>
      <c r="I32" s="27" t="n"/>
    </row>
    <row r="33">
      <c r="A33" s="25" t="n"/>
      <c r="B33" s="24" t="n"/>
      <c r="C33" s="24" t="n"/>
      <c r="D33" s="25" t="n"/>
      <c r="E33" s="25" t="n"/>
      <c r="F33" s="31" t="n"/>
      <c r="G33" s="31" t="n"/>
      <c r="H33" s="32" t="n"/>
      <c r="I33" s="24" t="n"/>
    </row>
    <row r="34">
      <c r="A34" s="28" t="n"/>
      <c r="B34" s="27" t="n"/>
      <c r="C34" s="27" t="n"/>
      <c r="D34" s="28" t="n"/>
      <c r="E34" s="28" t="n"/>
      <c r="F34" s="33" t="n"/>
      <c r="G34" s="33" t="n"/>
      <c r="H34" s="34" t="n"/>
      <c r="I34" s="27" t="n"/>
    </row>
    <row r="35">
      <c r="A35" s="25" t="n"/>
      <c r="B35" s="24" t="n"/>
      <c r="C35" s="24" t="n"/>
      <c r="D35" s="25" t="n"/>
      <c r="E35" s="25" t="n"/>
      <c r="F35" s="31" t="n"/>
      <c r="G35" s="31" t="n"/>
      <c r="H35" s="32" t="n"/>
      <c r="I35" s="24" t="n"/>
    </row>
    <row r="36">
      <c r="A36" s="28" t="n"/>
      <c r="B36" s="27" t="n"/>
      <c r="C36" s="27" t="n"/>
      <c r="D36" s="28" t="n"/>
      <c r="E36" s="28" t="n"/>
      <c r="F36" s="33" t="n"/>
      <c r="G36" s="33" t="n"/>
      <c r="H36" s="34" t="n"/>
      <c r="I36" s="27" t="n"/>
    </row>
    <row r="37">
      <c r="A37" s="25" t="n"/>
      <c r="B37" s="24" t="n"/>
      <c r="C37" s="24" t="n"/>
      <c r="D37" s="25" t="n"/>
      <c r="E37" s="25" t="n"/>
      <c r="F37" s="31" t="n"/>
      <c r="G37" s="31" t="n"/>
      <c r="H37" s="32" t="n"/>
      <c r="I37" s="24" t="n"/>
    </row>
    <row r="38">
      <c r="A38" s="28" t="n"/>
      <c r="B38" s="27" t="n"/>
      <c r="C38" s="27" t="n"/>
      <c r="D38" s="28" t="n"/>
      <c r="E38" s="28" t="n"/>
      <c r="F38" s="33" t="n"/>
      <c r="G38" s="33" t="n"/>
      <c r="H38" s="34" t="n"/>
      <c r="I38" s="27" t="n"/>
    </row>
    <row r="39">
      <c r="A39" s="25" t="n"/>
      <c r="B39" s="24" t="n"/>
      <c r="C39" s="24" t="n"/>
      <c r="D39" s="25" t="n"/>
      <c r="E39" s="25" t="n"/>
      <c r="F39" s="31" t="n"/>
      <c r="G39" s="31" t="n"/>
      <c r="H39" s="32" t="n"/>
      <c r="I39" s="24" t="n"/>
    </row>
    <row r="40">
      <c r="A40" s="28" t="n"/>
      <c r="B40" s="27" t="n"/>
      <c r="C40" s="27" t="n"/>
      <c r="D40" s="28" t="n"/>
      <c r="E40" s="28" t="n"/>
      <c r="F40" s="33" t="n"/>
      <c r="G40" s="33" t="n"/>
      <c r="H40" s="34" t="n"/>
      <c r="I40" s="27" t="n"/>
    </row>
    <row r="41">
      <c r="A41" s="25" t="n"/>
      <c r="B41" s="24" t="n"/>
      <c r="C41" s="24" t="n"/>
      <c r="D41" s="25" t="n"/>
      <c r="E41" s="25" t="n"/>
      <c r="F41" s="31" t="n"/>
      <c r="G41" s="31" t="n"/>
      <c r="H41" s="32" t="n"/>
      <c r="I41" s="24" t="n"/>
    </row>
    <row r="42">
      <c r="A42" s="28" t="n"/>
      <c r="B42" s="27" t="n"/>
      <c r="C42" s="27" t="n"/>
      <c r="D42" s="28" t="n"/>
      <c r="E42" s="28" t="n"/>
      <c r="F42" s="33" t="n"/>
      <c r="G42" s="33" t="n"/>
      <c r="H42" s="34" t="n"/>
      <c r="I42" s="27" t="n"/>
    </row>
    <row r="43">
      <c r="A43" s="25" t="n"/>
      <c r="B43" s="24" t="n"/>
      <c r="C43" s="24" t="n"/>
      <c r="D43" s="25" t="n"/>
      <c r="E43" s="25" t="n"/>
      <c r="F43" s="31" t="n"/>
      <c r="G43" s="31" t="n"/>
      <c r="H43" s="32" t="n"/>
      <c r="I43" s="24" t="n"/>
    </row>
    <row r="44">
      <c r="A44" s="28" t="n"/>
      <c r="B44" s="27" t="n"/>
      <c r="C44" s="27" t="n"/>
      <c r="D44" s="28" t="n"/>
      <c r="E44" s="28" t="n"/>
      <c r="F44" s="33" t="n"/>
      <c r="G44" s="33" t="n"/>
      <c r="H44" s="34" t="n"/>
      <c r="I44" s="27" t="n"/>
    </row>
  </sheetData>
  <mergeCells count="2">
    <mergeCell ref="A1:I1"/>
    <mergeCell ref="A2:I2"/>
  </mergeCells>
  <conditionalFormatting sqref="H5:H44">
    <cfRule type="colorScale" priority="1">
      <colorScale>
        <cfvo type="num" val="0.5"/>
        <cfvo type="num" val="4"/>
        <color rgb="FFFBF0E2"/>
        <color rgb="FF75E6C1"/>
      </colorScale>
    </cfRule>
  </conditionalFormatting>
  <dataValidations count="1">
    <dataValidation sqref="C5:C4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5" customWidth="1" min="6" max="6"/>
    <col width="13" customWidth="1" min="7" max="7"/>
    <col width="3" customWidth="1" min="8" max="8"/>
    <col width="14" customWidth="1" min="9" max="9"/>
    <col width="10" customWidth="1" min="10" max="10"/>
  </cols>
  <sheetData>
    <row r="1" ht="46" customHeight="1">
      <c r="A1" s="1" t="inlineStr">
        <is>
          <t xml:space="preserve">  📊  CONTENT PERFORMANCE TRACKER</t>
        </is>
      </c>
    </row>
    <row r="2" ht="22" customHeight="1">
      <c r="A2" s="2" t="inlineStr">
        <is>
          <t xml:space="preserve">  What's working — views, engagement &amp; followers gained, with top performers ranked.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Content Title</t>
        </is>
      </c>
      <c r="B4" s="7" t="inlineStr">
        <is>
          <t>Platform</t>
        </is>
      </c>
      <c r="C4" s="7" t="inlineStr">
        <is>
          <t>Publish Date</t>
        </is>
      </c>
      <c r="D4" s="7" t="inlineStr">
        <is>
          <t>Views</t>
        </is>
      </c>
      <c r="E4" s="7" t="inlineStr">
        <is>
          <t>Engagement</t>
        </is>
      </c>
      <c r="F4" s="7" t="inlineStr">
        <is>
          <t>Followers +</t>
        </is>
      </c>
      <c r="G4" s="7" t="inlineStr">
        <is>
          <t>Rank</t>
        </is>
      </c>
      <c r="I4" s="7" t="inlineStr">
        <is>
          <t>Platform</t>
        </is>
      </c>
      <c r="J4" s="7" t="inlineStr">
        <is>
          <t>Posts</t>
        </is>
      </c>
    </row>
    <row r="5">
      <c r="A5" s="25" t="inlineStr">
        <is>
          <t>Reply: how much I actually make</t>
        </is>
      </c>
      <c r="B5" s="24" t="inlineStr">
        <is>
          <t>TikTok</t>
        </is>
      </c>
      <c r="C5" s="23" t="n">
        <v>46204</v>
      </c>
      <c r="D5" s="31" t="n">
        <v>148000</v>
      </c>
      <c r="E5" s="29" t="n">
        <v>0.112</v>
      </c>
      <c r="F5" s="31" t="n">
        <v>1820</v>
      </c>
      <c r="G5" s="31">
        <f>IF(D5="","",RANK(D5,$D$5:$D$16))</f>
        <v/>
      </c>
      <c r="I5" s="35" t="inlineStr">
        <is>
          <t>YouTube</t>
        </is>
      </c>
      <c r="J5" s="36">
        <f>COUNTIF(PerfPlatform,I5)</f>
        <v/>
      </c>
    </row>
    <row r="6">
      <c r="A6" s="28" t="inlineStr">
        <is>
          <t>Carousel: 7 hooks that work</t>
        </is>
      </c>
      <c r="B6" s="27" t="inlineStr">
        <is>
          <t>Instagram</t>
        </is>
      </c>
      <c r="C6" s="26" t="n">
        <v>46205</v>
      </c>
      <c r="D6" s="33" t="n">
        <v>42000</v>
      </c>
      <c r="E6" s="30" t="n">
        <v>0.08599999999999999</v>
      </c>
      <c r="F6" s="33" t="n">
        <v>640</v>
      </c>
      <c r="G6" s="33">
        <f>IF(D6="","",RANK(D6,$D$5:$D$16))</f>
        <v/>
      </c>
      <c r="I6" s="35" t="inlineStr">
        <is>
          <t>TikTok</t>
        </is>
      </c>
      <c r="J6" s="36">
        <f>COUNTIF(PerfPlatform,I6)</f>
        <v/>
      </c>
    </row>
    <row r="7">
      <c r="A7" s="25" t="inlineStr">
        <is>
          <t>The creator's tax checklist</t>
        </is>
      </c>
      <c r="B7" s="24" t="inlineStr">
        <is>
          <t>Blog</t>
        </is>
      </c>
      <c r="C7" s="23" t="n">
        <v>46202</v>
      </c>
      <c r="D7" s="31" t="n">
        <v>9800</v>
      </c>
      <c r="E7" s="29" t="n">
        <v>0.045</v>
      </c>
      <c r="F7" s="31" t="n">
        <v>90</v>
      </c>
      <c r="G7" s="31">
        <f>IF(D7="","",RANK(D7,$D$5:$D$16))</f>
        <v/>
      </c>
      <c r="I7" s="35" t="inlineStr">
        <is>
          <t>Instagram</t>
        </is>
      </c>
      <c r="J7" s="36">
        <f>COUNTIF(PerfPlatform,I7)</f>
        <v/>
      </c>
    </row>
    <row r="8">
      <c r="A8" s="28" t="inlineStr">
        <is>
          <t>3 tools I can't live without</t>
        </is>
      </c>
      <c r="B8" s="27" t="inlineStr">
        <is>
          <t>IG Reels</t>
        </is>
      </c>
      <c r="C8" s="26" t="n">
        <v>46200</v>
      </c>
      <c r="D8" s="33" t="n">
        <v>96000</v>
      </c>
      <c r="E8" s="30" t="n">
        <v>0.094</v>
      </c>
      <c r="F8" s="33" t="n">
        <v>1120</v>
      </c>
      <c r="G8" s="33">
        <f>IF(D8="","",RANK(D8,$D$5:$D$16))</f>
        <v/>
      </c>
      <c r="I8" s="35" t="inlineStr">
        <is>
          <t>IG Reels</t>
        </is>
      </c>
      <c r="J8" s="36">
        <f>COUNTIF(PerfPlatform,I8)</f>
        <v/>
      </c>
    </row>
    <row r="9">
      <c r="A9" s="25" t="inlineStr">
        <is>
          <t>Interview: scaling to full-time</t>
        </is>
      </c>
      <c r="B9" s="24" t="inlineStr">
        <is>
          <t>Podcast</t>
        </is>
      </c>
      <c r="C9" s="23" t="n">
        <v>46198</v>
      </c>
      <c r="D9" s="31" t="n">
        <v>12400</v>
      </c>
      <c r="E9" s="29" t="n">
        <v>0.061</v>
      </c>
      <c r="F9" s="31" t="n">
        <v>210</v>
      </c>
      <c r="G9" s="31">
        <f>IF(D9="","",RANK(D9,$D$5:$D$16))</f>
        <v/>
      </c>
      <c r="I9" s="35" t="inlineStr">
        <is>
          <t>Podcast</t>
        </is>
      </c>
      <c r="J9" s="36">
        <f>COUNTIF(PerfPlatform,I9)</f>
        <v/>
      </c>
    </row>
    <row r="10">
      <c r="A10" s="28" t="inlineStr">
        <is>
          <t>$0 to $8k/mo as a creator</t>
        </is>
      </c>
      <c r="B10" s="27" t="inlineStr">
        <is>
          <t>YouTube</t>
        </is>
      </c>
      <c r="C10" s="26" t="n">
        <v>46196</v>
      </c>
      <c r="D10" s="33" t="n">
        <v>84000</v>
      </c>
      <c r="E10" s="30" t="n">
        <v>0.078</v>
      </c>
      <c r="F10" s="33" t="n">
        <v>2100</v>
      </c>
      <c r="G10" s="33">
        <f>IF(D10="","",RANK(D10,$D$5:$D$16))</f>
        <v/>
      </c>
      <c r="I10" s="35" t="inlineStr">
        <is>
          <t>Newsletter</t>
        </is>
      </c>
      <c r="J10" s="36">
        <f>COUNTIF(PerfPlatform,I10)</f>
        <v/>
      </c>
    </row>
    <row r="11">
      <c r="A11" s="25" t="inlineStr">
        <is>
          <t>Behind the scenes: my studio</t>
        </is>
      </c>
      <c r="B11" s="24" t="inlineStr">
        <is>
          <t>Instagram</t>
        </is>
      </c>
      <c r="C11" s="23" t="n">
        <v>46194</v>
      </c>
      <c r="D11" s="31" t="n">
        <v>31000</v>
      </c>
      <c r="E11" s="29" t="n">
        <v>0.07199999999999999</v>
      </c>
      <c r="F11" s="31" t="n">
        <v>380</v>
      </c>
      <c r="G11" s="31">
        <f>IF(D11="","",RANK(D11,$D$5:$D$16))</f>
        <v/>
      </c>
      <c r="I11" s="35" t="inlineStr">
        <is>
          <t>Blog</t>
        </is>
      </c>
      <c r="J11" s="36">
        <f>COUNTIF(PerfPlatform,I11)</f>
        <v/>
      </c>
    </row>
    <row r="12">
      <c r="A12" s="28" t="inlineStr">
        <is>
          <t>How I plan a month in 90 min</t>
        </is>
      </c>
      <c r="B12" s="27" t="inlineStr">
        <is>
          <t>Newsletter</t>
        </is>
      </c>
      <c r="C12" s="26" t="n">
        <v>46191</v>
      </c>
      <c r="D12" s="33" t="n">
        <v>6200</v>
      </c>
      <c r="E12" s="30" t="n">
        <v>0.412</v>
      </c>
      <c r="F12" s="33" t="n">
        <v>140</v>
      </c>
      <c r="G12" s="33">
        <f>IF(D12="","",RANK(D12,$D$5:$D$16))</f>
        <v/>
      </c>
    </row>
    <row r="13">
      <c r="A13" s="25" t="inlineStr">
        <is>
          <t>The 2-folder content system</t>
        </is>
      </c>
      <c r="B13" s="24" t="inlineStr">
        <is>
          <t>TikTok</t>
        </is>
      </c>
      <c r="C13" s="23" t="n">
        <v>46188</v>
      </c>
      <c r="D13" s="31" t="n">
        <v>112000</v>
      </c>
      <c r="E13" s="29" t="n">
        <v>0.101</v>
      </c>
      <c r="F13" s="31" t="n">
        <v>1450</v>
      </c>
      <c r="G13" s="31">
        <f>IF(D13="","",RANK(D13,$D$5:$D$16))</f>
        <v/>
      </c>
    </row>
    <row r="14">
      <c r="A14" s="28" t="inlineStr">
        <is>
          <t>5 Systems That 10x Your Output</t>
        </is>
      </c>
      <c r="B14" s="27" t="inlineStr">
        <is>
          <t>YouTube</t>
        </is>
      </c>
      <c r="C14" s="26" t="n">
        <v>46186</v>
      </c>
      <c r="D14" s="33" t="n">
        <v>67000</v>
      </c>
      <c r="E14" s="30" t="n">
        <v>0.06900000000000001</v>
      </c>
      <c r="F14" s="33" t="n">
        <v>1580</v>
      </c>
      <c r="G14" s="33">
        <f>IF(D14="","",RANK(D14,$D$5:$D$16))</f>
        <v/>
      </c>
    </row>
    <row r="15">
      <c r="A15" s="25" t="inlineStr">
        <is>
          <t>Editing hack reel</t>
        </is>
      </c>
      <c r="B15" s="24" t="inlineStr">
        <is>
          <t>IG Reels</t>
        </is>
      </c>
      <c r="C15" s="23" t="n">
        <v>46182</v>
      </c>
      <c r="D15" s="31" t="n">
        <v>58000</v>
      </c>
      <c r="E15" s="29" t="n">
        <v>0.08799999999999999</v>
      </c>
      <c r="F15" s="31" t="n">
        <v>720</v>
      </c>
      <c r="G15" s="31">
        <f>IF(D15="","",RANK(D15,$D$5:$D$16))</f>
        <v/>
      </c>
    </row>
    <row r="16">
      <c r="A16" s="28" t="inlineStr">
        <is>
          <t>Weekly Q&amp;A thread</t>
        </is>
      </c>
      <c r="B16" s="27" t="inlineStr">
        <is>
          <t>X</t>
        </is>
      </c>
      <c r="C16" s="26" t="n">
        <v>46179</v>
      </c>
      <c r="D16" s="33" t="n">
        <v>21000</v>
      </c>
      <c r="E16" s="30" t="n">
        <v>0.034</v>
      </c>
      <c r="F16" s="33" t="n">
        <v>160</v>
      </c>
      <c r="G16" s="33">
        <f>IF(D16="","",RANK(D16,$D$5:$D$16))</f>
        <v/>
      </c>
    </row>
    <row r="17">
      <c r="A17" s="25" t="n"/>
      <c r="B17" s="24" t="n"/>
      <c r="C17" s="23" t="n"/>
      <c r="D17" s="31" t="n"/>
      <c r="E17" s="29" t="n"/>
      <c r="F17" s="31" t="n"/>
      <c r="G17" s="31" t="n"/>
    </row>
    <row r="18">
      <c r="A18" s="28" t="n"/>
      <c r="B18" s="27" t="n"/>
      <c r="C18" s="26" t="n"/>
      <c r="D18" s="33" t="n"/>
      <c r="E18" s="30" t="n"/>
      <c r="F18" s="33" t="n"/>
      <c r="G18" s="33" t="n"/>
    </row>
    <row r="19">
      <c r="A19" s="25" t="n"/>
      <c r="B19" s="24" t="n"/>
      <c r="C19" s="23" t="n"/>
      <c r="D19" s="31" t="n"/>
      <c r="E19" s="29" t="n"/>
      <c r="F19" s="31" t="n"/>
      <c r="G19" s="31" t="n"/>
    </row>
    <row r="20">
      <c r="A20" s="28" t="n"/>
      <c r="B20" s="27" t="n"/>
      <c r="C20" s="26" t="n"/>
      <c r="D20" s="33" t="n"/>
      <c r="E20" s="30" t="n"/>
      <c r="F20" s="33" t="n"/>
      <c r="G20" s="33" t="n"/>
    </row>
    <row r="21">
      <c r="A21" s="25" t="n"/>
      <c r="B21" s="24" t="n"/>
      <c r="C21" s="23" t="n"/>
      <c r="D21" s="31" t="n"/>
      <c r="E21" s="29" t="n"/>
      <c r="F21" s="31" t="n"/>
      <c r="G21" s="31" t="n"/>
    </row>
    <row r="22">
      <c r="A22" s="28" t="n"/>
      <c r="B22" s="27" t="n"/>
      <c r="C22" s="26" t="n"/>
      <c r="D22" s="33" t="n"/>
      <c r="E22" s="30" t="n"/>
      <c r="F22" s="33" t="n"/>
      <c r="G22" s="33" t="n"/>
    </row>
    <row r="23">
      <c r="A23" s="25" t="n"/>
      <c r="B23" s="24" t="n"/>
      <c r="C23" s="23" t="n"/>
      <c r="D23" s="31" t="n"/>
      <c r="E23" s="29" t="n"/>
      <c r="F23" s="31" t="n"/>
      <c r="G23" s="31" t="n"/>
    </row>
    <row r="24">
      <c r="A24" s="28" t="n"/>
      <c r="B24" s="27" t="n"/>
      <c r="C24" s="26" t="n"/>
      <c r="D24" s="33" t="n"/>
      <c r="E24" s="30" t="n"/>
      <c r="F24" s="33" t="n"/>
      <c r="G24" s="33" t="n"/>
    </row>
    <row r="25">
      <c r="A25" s="25" t="n"/>
      <c r="B25" s="24" t="n"/>
      <c r="C25" s="23" t="n"/>
      <c r="D25" s="31" t="n"/>
      <c r="E25" s="29" t="n"/>
      <c r="F25" s="31" t="n"/>
      <c r="G25" s="31" t="n"/>
    </row>
    <row r="26">
      <c r="A26" s="28" t="n"/>
      <c r="B26" s="27" t="n"/>
      <c r="C26" s="26" t="n"/>
      <c r="D26" s="33" t="n"/>
      <c r="E26" s="30" t="n"/>
      <c r="F26" s="33" t="n"/>
      <c r="G26" s="33" t="n"/>
    </row>
    <row r="27">
      <c r="A27" s="25" t="n"/>
      <c r="B27" s="24" t="n"/>
      <c r="C27" s="23" t="n"/>
      <c r="D27" s="31" t="n"/>
      <c r="E27" s="29" t="n"/>
      <c r="F27" s="31" t="n"/>
      <c r="G27" s="31" t="n"/>
    </row>
    <row r="28">
      <c r="A28" s="28" t="n"/>
      <c r="B28" s="27" t="n"/>
      <c r="C28" s="26" t="n"/>
      <c r="D28" s="33" t="n"/>
      <c r="E28" s="30" t="n"/>
      <c r="F28" s="33" t="n"/>
      <c r="G28" s="33" t="n"/>
    </row>
    <row r="29">
      <c r="A29" s="25" t="n"/>
      <c r="B29" s="24" t="n"/>
      <c r="C29" s="23" t="n"/>
      <c r="D29" s="31" t="n"/>
      <c r="E29" s="29" t="n"/>
      <c r="F29" s="31" t="n"/>
      <c r="G29" s="31" t="n"/>
    </row>
    <row r="30">
      <c r="A30" s="28" t="n"/>
      <c r="B30" s="27" t="n"/>
      <c r="C30" s="26" t="n"/>
      <c r="D30" s="33" t="n"/>
      <c r="E30" s="30" t="n"/>
      <c r="F30" s="33" t="n"/>
      <c r="G30" s="33" t="n"/>
    </row>
    <row r="31">
      <c r="A31" s="25" t="n"/>
      <c r="B31" s="24" t="n"/>
      <c r="C31" s="23" t="n"/>
      <c r="D31" s="31" t="n"/>
      <c r="E31" s="29" t="n"/>
      <c r="F31" s="31" t="n"/>
      <c r="G31" s="31" t="n"/>
    </row>
    <row r="32">
      <c r="A32" s="28" t="n"/>
      <c r="B32" s="27" t="n"/>
      <c r="C32" s="26" t="n"/>
      <c r="D32" s="33" t="n"/>
      <c r="E32" s="30" t="n"/>
      <c r="F32" s="33" t="n"/>
      <c r="G32" s="33" t="n"/>
    </row>
    <row r="33">
      <c r="A33" s="25" t="n"/>
      <c r="B33" s="24" t="n"/>
      <c r="C33" s="23" t="n"/>
      <c r="D33" s="31" t="n"/>
      <c r="E33" s="29" t="n"/>
      <c r="F33" s="31" t="n"/>
      <c r="G33" s="31" t="n"/>
    </row>
    <row r="34">
      <c r="A34" s="28" t="n"/>
      <c r="B34" s="27" t="n"/>
      <c r="C34" s="26" t="n"/>
      <c r="D34" s="33" t="n"/>
      <c r="E34" s="30" t="n"/>
      <c r="F34" s="33" t="n"/>
      <c r="G34" s="33" t="n"/>
    </row>
    <row r="35">
      <c r="A35" s="25" t="n"/>
      <c r="B35" s="24" t="n"/>
      <c r="C35" s="23" t="n"/>
      <c r="D35" s="31" t="n"/>
      <c r="E35" s="29" t="n"/>
      <c r="F35" s="31" t="n"/>
      <c r="G35" s="31" t="n"/>
    </row>
    <row r="36">
      <c r="A36" s="28" t="n"/>
      <c r="B36" s="27" t="n"/>
      <c r="C36" s="26" t="n"/>
      <c r="D36" s="33" t="n"/>
      <c r="E36" s="30" t="n"/>
      <c r="F36" s="33" t="n"/>
      <c r="G36" s="33" t="n"/>
    </row>
    <row r="37">
      <c r="A37" s="25" t="n"/>
      <c r="B37" s="24" t="n"/>
      <c r="C37" s="23" t="n"/>
      <c r="D37" s="31" t="n"/>
      <c r="E37" s="29" t="n"/>
      <c r="F37" s="31" t="n"/>
      <c r="G37" s="31" t="n"/>
    </row>
    <row r="38">
      <c r="A38" s="28" t="n"/>
      <c r="B38" s="27" t="n"/>
      <c r="C38" s="26" t="n"/>
      <c r="D38" s="33" t="n"/>
      <c r="E38" s="30" t="n"/>
      <c r="F38" s="33" t="n"/>
      <c r="G38" s="33" t="n"/>
    </row>
    <row r="39">
      <c r="A39" s="25" t="n"/>
      <c r="B39" s="24" t="n"/>
      <c r="C39" s="23" t="n"/>
      <c r="D39" s="31" t="n"/>
      <c r="E39" s="29" t="n"/>
      <c r="F39" s="31" t="n"/>
      <c r="G39" s="31" t="n"/>
    </row>
    <row r="40">
      <c r="A40" s="28" t="n"/>
      <c r="B40" s="27" t="n"/>
      <c r="C40" s="26" t="n"/>
      <c r="D40" s="33" t="n"/>
      <c r="E40" s="30" t="n"/>
      <c r="F40" s="33" t="n"/>
      <c r="G40" s="33" t="n"/>
    </row>
    <row r="41">
      <c r="A41" s="25" t="n"/>
      <c r="B41" s="24" t="n"/>
      <c r="C41" s="23" t="n"/>
      <c r="D41" s="31" t="n"/>
      <c r="E41" s="29" t="n"/>
      <c r="F41" s="31" t="n"/>
      <c r="G41" s="31" t="n"/>
    </row>
    <row r="42">
      <c r="A42" s="28" t="n"/>
      <c r="B42" s="27" t="n"/>
      <c r="C42" s="26" t="n"/>
      <c r="D42" s="33" t="n"/>
      <c r="E42" s="30" t="n"/>
      <c r="F42" s="33" t="n"/>
      <c r="G42" s="33" t="n"/>
    </row>
    <row r="43">
      <c r="A43" s="25" t="n"/>
      <c r="B43" s="24" t="n"/>
      <c r="C43" s="23" t="n"/>
      <c r="D43" s="31" t="n"/>
      <c r="E43" s="29" t="n"/>
      <c r="F43" s="31" t="n"/>
      <c r="G43" s="31" t="n"/>
    </row>
    <row r="44">
      <c r="A44" s="28" t="n"/>
      <c r="B44" s="27" t="n"/>
      <c r="C44" s="26" t="n"/>
      <c r="D44" s="33" t="n"/>
      <c r="E44" s="30" t="n"/>
      <c r="F44" s="33" t="n"/>
      <c r="G44" s="33" t="n"/>
    </row>
  </sheetData>
  <mergeCells count="2">
    <mergeCell ref="A2:G2"/>
    <mergeCell ref="A1:G1"/>
  </mergeCells>
  <conditionalFormatting sqref="D5:D44">
    <cfRule type="dataBar" priority="1">
      <dataBar showValue="1">
        <cfvo type="num" val="0"/>
        <cfvo type="num" val="150000"/>
        <color rgb="001B4F48"/>
      </dataBar>
    </cfRule>
  </conditionalFormatting>
  <conditionalFormatting sqref="G5:G44">
    <cfRule type="cellIs" priority="2" operator="lessThanOrEqual" dxfId="5">
      <formula>3</formula>
    </cfRule>
  </conditionalFormatting>
  <dataValidations count="1">
    <dataValidation sqref="B5:B4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3" customWidth="1" min="5" max="5"/>
    <col width="22" customWidth="1" min="6" max="6"/>
    <col width="14" customWidth="1" min="7" max="7"/>
  </cols>
  <sheetData>
    <row r="1" ht="46" customHeight="1">
      <c r="A1" s="1" t="inlineStr">
        <is>
          <t xml:space="preserve">  💰  REVENUE COMMAND CENTER</t>
        </is>
      </c>
    </row>
    <row r="2" ht="22" customHeight="1">
      <c r="A2" s="2" t="inlineStr">
        <is>
          <t xml:space="preserve">  Every income stream in one place — monthly, annual run-rate &amp; profit,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Income Source</t>
        </is>
      </c>
      <c r="B4" s="7" t="inlineStr">
        <is>
          <t>This Month</t>
        </is>
      </c>
      <c r="C4" s="7" t="inlineStr">
        <is>
          <t>Annual (est.)</t>
        </is>
      </c>
      <c r="D4" s="7" t="inlineStr">
        <is>
          <t>% of Rev</t>
        </is>
      </c>
      <c r="F4" s="4" t="inlineStr">
        <is>
          <t>THE BOTTOM LINE</t>
        </is>
      </c>
    </row>
    <row r="5">
      <c r="A5" s="35" t="inlineStr">
        <is>
          <t>Sponsorships</t>
        </is>
      </c>
      <c r="B5" s="37" t="n">
        <v>3200</v>
      </c>
      <c r="C5" s="38">
        <f>B5*12</f>
        <v/>
      </c>
      <c r="D5" s="39">
        <f>IFERROR(B5/$B$15,0)</f>
        <v/>
      </c>
      <c r="F5" s="17" t="inlineStr">
        <is>
          <t>Revenue (month)</t>
        </is>
      </c>
      <c r="G5" s="40">
        <f>RevenueTotal</f>
        <v/>
      </c>
    </row>
    <row r="6">
      <c r="A6" s="28" t="inlineStr">
        <is>
          <t>Affiliate Marketing</t>
        </is>
      </c>
      <c r="B6" s="41" t="n">
        <v>1150</v>
      </c>
      <c r="C6" s="42">
        <f>B6*12</f>
        <v/>
      </c>
      <c r="D6" s="30">
        <f>IFERROR(B6/$B$15,0)</f>
        <v/>
      </c>
      <c r="F6" s="17" t="inlineStr">
        <is>
          <t>Annual run-rate</t>
        </is>
      </c>
      <c r="G6" s="40">
        <f>RevenueTotal*12</f>
        <v/>
      </c>
    </row>
    <row r="7">
      <c r="A7" s="35" t="inlineStr">
        <is>
          <t>Ad Revenue</t>
        </is>
      </c>
      <c r="B7" s="37" t="n">
        <v>840</v>
      </c>
      <c r="C7" s="38">
        <f>B7*12</f>
        <v/>
      </c>
      <c r="D7" s="39">
        <f>IFERROR(B7/$B$15,0)</f>
        <v/>
      </c>
      <c r="F7" s="17" t="inlineStr">
        <is>
          <t>Expenses (month)</t>
        </is>
      </c>
      <c r="G7" s="40">
        <f>ExpenseTotal</f>
        <v/>
      </c>
    </row>
    <row r="8">
      <c r="A8" s="28" t="inlineStr">
        <is>
          <t>Digital Products</t>
        </is>
      </c>
      <c r="B8" s="41" t="n">
        <v>1680</v>
      </c>
      <c r="C8" s="42">
        <f>B8*12</f>
        <v/>
      </c>
      <c r="D8" s="30">
        <f>IFERROR(B8/$B$15,0)</f>
        <v/>
      </c>
      <c r="F8" s="17" t="inlineStr">
        <is>
          <t>Net profit</t>
        </is>
      </c>
      <c r="G8" s="43">
        <f>RevenueTotal-ExpenseTotal</f>
        <v/>
      </c>
    </row>
    <row r="9">
      <c r="A9" s="35" t="inlineStr">
        <is>
          <t>Memberships</t>
        </is>
      </c>
      <c r="B9" s="37" t="n">
        <v>420</v>
      </c>
      <c r="C9" s="38">
        <f>B9*12</f>
        <v/>
      </c>
      <c r="D9" s="39">
        <f>IFERROR(B9/$B$15,0)</f>
        <v/>
      </c>
      <c r="F9" s="17" t="inlineStr">
        <is>
          <t>Profit margin</t>
        </is>
      </c>
      <c r="G9" s="44">
        <f>IFERROR((RevenueTotal-ExpenseTotal)/RevenueTotal,0)</f>
        <v/>
      </c>
    </row>
    <row r="10">
      <c r="A10" s="28" t="inlineStr">
        <is>
          <t>Courses</t>
        </is>
      </c>
      <c r="B10" s="41" t="n">
        <v>0</v>
      </c>
      <c r="C10" s="42">
        <f>B10*12</f>
        <v/>
      </c>
      <c r="D10" s="30">
        <f>IFERROR(B10/$B$15,0)</f>
        <v/>
      </c>
    </row>
    <row r="11">
      <c r="A11" s="35" t="inlineStr">
        <is>
          <t>Consulting</t>
        </is>
      </c>
      <c r="B11" s="37" t="n">
        <v>600</v>
      </c>
      <c r="C11" s="38">
        <f>B11*12</f>
        <v/>
      </c>
      <c r="D11" s="39">
        <f>IFERROR(B11/$B$15,0)</f>
        <v/>
      </c>
    </row>
    <row r="12">
      <c r="A12" s="28" t="inlineStr">
        <is>
          <t>Merchandise</t>
        </is>
      </c>
      <c r="B12" s="41" t="n">
        <v>180</v>
      </c>
      <c r="C12" s="42">
        <f>B12*12</f>
        <v/>
      </c>
      <c r="D12" s="30">
        <f>IFERROR(B12/$B$15,0)</f>
        <v/>
      </c>
    </row>
    <row r="13">
      <c r="A13" s="35" t="inlineStr">
        <is>
          <t>Donations</t>
        </is>
      </c>
      <c r="B13" s="37" t="n">
        <v>90</v>
      </c>
      <c r="C13" s="38">
        <f>B13*12</f>
        <v/>
      </c>
      <c r="D13" s="39">
        <f>IFERROR(B13/$B$15,0)</f>
        <v/>
      </c>
    </row>
    <row r="14">
      <c r="A14" s="28" t="inlineStr">
        <is>
          <t>Freelance</t>
        </is>
      </c>
      <c r="B14" s="41" t="n">
        <v>0</v>
      </c>
      <c r="C14" s="42">
        <f>B14*12</f>
        <v/>
      </c>
      <c r="D14" s="30">
        <f>IFERROR(B14/$B$15,0)</f>
        <v/>
      </c>
    </row>
    <row r="15">
      <c r="A15" s="7" t="inlineStr">
        <is>
          <t>TOTAL REVENUE</t>
        </is>
      </c>
      <c r="B15" s="45">
        <f>SUM(B5:B14)</f>
        <v/>
      </c>
      <c r="C15" s="45">
        <f>SUM(C5:C14)</f>
        <v/>
      </c>
    </row>
  </sheetData>
  <mergeCells count="3">
    <mergeCell ref="F4:G4"/>
    <mergeCell ref="A2:G2"/>
    <mergeCell ref="A1:G1"/>
  </mergeCells>
  <conditionalFormatting sqref="D5:D14">
    <cfRule type="dataBar" priority="1">
      <dataBar showValue="1">
        <cfvo type="num" val="0"/>
        <cfvo type="num" val="0.45"/>
        <color rgb="001B4F48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8" customWidth="1" min="4" max="4"/>
    <col width="22" customWidth="1" min="5" max="5"/>
    <col width="11" customWidth="1" min="6" max="6"/>
    <col width="14" customWidth="1" min="7" max="7"/>
    <col width="12" customWidth="1" min="8" max="8"/>
    <col width="13" customWidth="1" min="9" max="9"/>
  </cols>
  <sheetData>
    <row r="1" ht="46" customHeight="1">
      <c r="A1" s="1" t="inlineStr">
        <is>
          <t xml:space="preserve">  🤝  SPONSORSHIP CRM</t>
        </is>
      </c>
    </row>
    <row r="2" ht="22" customHeight="1">
      <c r="A2" s="2" t="inlineStr">
        <is>
          <t xml:space="preserve">  Turn brand deals into a pipeline — track every stage from lead to paid.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Brand</t>
        </is>
      </c>
      <c r="B4" s="7" t="inlineStr">
        <is>
          <t>Contact</t>
        </is>
      </c>
      <c r="C4" s="7" t="inlineStr">
        <is>
          <t>Email</t>
        </is>
      </c>
      <c r="D4" s="7" t="inlineStr">
        <is>
          <t>Campaign</t>
        </is>
      </c>
      <c r="E4" s="7" t="inlineStr">
        <is>
          <t>Deliverables</t>
        </is>
      </c>
      <c r="F4" s="7" t="inlineStr">
        <is>
          <t>Rate</t>
        </is>
      </c>
      <c r="G4" s="7" t="inlineStr">
        <is>
          <t>Stage</t>
        </is>
      </c>
      <c r="H4" s="7" t="inlineStr">
        <is>
          <t>Invoice</t>
        </is>
      </c>
      <c r="I4" s="7" t="inlineStr">
        <is>
          <t>Due / Paid</t>
        </is>
      </c>
    </row>
    <row r="5">
      <c r="A5" s="24" t="inlineStr">
        <is>
          <t>Riverside</t>
        </is>
      </c>
      <c r="B5" s="25" t="inlineStr">
        <is>
          <t>Dana K.</t>
        </is>
      </c>
      <c r="C5" s="25" t="inlineStr">
        <is>
          <t>dana@riverside.fm</t>
        </is>
      </c>
      <c r="D5" s="25" t="inlineStr">
        <is>
          <t>Q3 integration</t>
        </is>
      </c>
      <c r="E5" s="25" t="inlineStr">
        <is>
          <t>1 video + 2 stories</t>
        </is>
      </c>
      <c r="F5" s="46" t="n">
        <v>3200</v>
      </c>
      <c r="G5" s="24" t="inlineStr">
        <is>
          <t>Signed</t>
        </is>
      </c>
      <c r="H5" s="24" t="inlineStr">
        <is>
          <t>Sent</t>
        </is>
      </c>
      <c r="I5" s="23" t="n">
        <v>46218</v>
      </c>
    </row>
    <row r="6">
      <c r="A6" s="27" t="inlineStr">
        <is>
          <t>Skillshare</t>
        </is>
      </c>
      <c r="B6" s="28" t="inlineStr">
        <is>
          <t>Marco P.</t>
        </is>
      </c>
      <c r="C6" s="28" t="inlineStr">
        <is>
          <t>marco@skillshare.com</t>
        </is>
      </c>
      <c r="D6" s="28" t="inlineStr">
        <is>
          <t>Course promo</t>
        </is>
      </c>
      <c r="E6" s="28" t="inlineStr">
        <is>
          <t>1 dedicated video</t>
        </is>
      </c>
      <c r="F6" s="42" t="n">
        <v>2600</v>
      </c>
      <c r="G6" s="27" t="inlineStr">
        <is>
          <t>Negotiating</t>
        </is>
      </c>
      <c r="H6" s="27" t="inlineStr">
        <is>
          <t>Not Sent</t>
        </is>
      </c>
      <c r="I6" s="26" t="n">
        <v>46236</v>
      </c>
    </row>
    <row r="7">
      <c r="A7" s="24" t="inlineStr">
        <is>
          <t>Notion</t>
        </is>
      </c>
      <c r="B7" s="25" t="inlineStr">
        <is>
          <t>Lena R.</t>
        </is>
      </c>
      <c r="C7" s="25" t="inlineStr">
        <is>
          <t>partners@notion.so</t>
        </is>
      </c>
      <c r="D7" s="25" t="inlineStr">
        <is>
          <t>Template collab</t>
        </is>
      </c>
      <c r="E7" s="25" t="inlineStr">
        <is>
          <t>1 video + newsletter</t>
        </is>
      </c>
      <c r="F7" s="46" t="n">
        <v>2200</v>
      </c>
      <c r="G7" s="24" t="inlineStr">
        <is>
          <t>Delivered</t>
        </is>
      </c>
      <c r="H7" s="24" t="inlineStr">
        <is>
          <t>Sent</t>
        </is>
      </c>
      <c r="I7" s="23" t="n">
        <v>46201</v>
      </c>
    </row>
    <row r="8">
      <c r="A8" s="27" t="inlineStr">
        <is>
          <t>Squarespace</t>
        </is>
      </c>
      <c r="B8" s="28" t="inlineStr">
        <is>
          <t>Ivy T.</t>
        </is>
      </c>
      <c r="C8" s="28" t="inlineStr">
        <is>
          <t>creators@squarespace.com</t>
        </is>
      </c>
      <c r="D8" s="28" t="inlineStr">
        <is>
          <t>Website build</t>
        </is>
      </c>
      <c r="E8" s="28" t="inlineStr">
        <is>
          <t>2 reels</t>
        </is>
      </c>
      <c r="F8" s="42" t="n">
        <v>1400</v>
      </c>
      <c r="G8" s="27" t="inlineStr">
        <is>
          <t>Paid</t>
        </is>
      </c>
      <c r="H8" s="27" t="inlineStr">
        <is>
          <t>Paid</t>
        </is>
      </c>
      <c r="I8" s="26" t="n">
        <v>46181</v>
      </c>
    </row>
    <row r="9">
      <c r="A9" s="24" t="inlineStr">
        <is>
          <t>Epidemic Sound</t>
        </is>
      </c>
      <c r="B9" s="25" t="inlineStr">
        <is>
          <t>Sam W.</t>
        </is>
      </c>
      <c r="C9" s="25" t="inlineStr">
        <is>
          <t>sam@epidemicsound.com</t>
        </is>
      </c>
      <c r="D9" s="25" t="inlineStr">
        <is>
          <t>Music partner</t>
        </is>
      </c>
      <c r="E9" s="25" t="inlineStr">
        <is>
          <t>Ongoing mention</t>
        </is>
      </c>
      <c r="F9" s="46" t="n">
        <v>900</v>
      </c>
      <c r="G9" s="24" t="inlineStr">
        <is>
          <t>Signed</t>
        </is>
      </c>
      <c r="H9" s="24" t="inlineStr">
        <is>
          <t>Sent</t>
        </is>
      </c>
      <c r="I9" s="23" t="n">
        <v>46251</v>
      </c>
    </row>
    <row r="10">
      <c r="A10" s="27" t="inlineStr">
        <is>
          <t>BetterHelp</t>
        </is>
      </c>
      <c r="B10" s="28" t="inlineStr">
        <is>
          <t>Chris N.</t>
        </is>
      </c>
      <c r="C10" s="28" t="inlineStr">
        <is>
          <t>brand@betterhelp.com</t>
        </is>
      </c>
      <c r="D10" s="28" t="inlineStr">
        <is>
          <t>Wellness spot</t>
        </is>
      </c>
      <c r="E10" s="28" t="inlineStr">
        <is>
          <t>1 mid-roll</t>
        </is>
      </c>
      <c r="F10" s="42" t="n">
        <v>1800</v>
      </c>
      <c r="G10" s="27" t="inlineStr">
        <is>
          <t>Contacted</t>
        </is>
      </c>
      <c r="H10" s="27" t="inlineStr">
        <is>
          <t>Not Sent</t>
        </is>
      </c>
      <c r="I10" s="26" t="n">
        <v>46266</v>
      </c>
    </row>
    <row r="11">
      <c r="A11" s="24" t="inlineStr">
        <is>
          <t>Adobe</t>
        </is>
      </c>
      <c r="B11" s="25" t="inlineStr">
        <is>
          <t>Priya S.</t>
        </is>
      </c>
      <c r="C11" s="25" t="inlineStr">
        <is>
          <t>creators@adobe.com</t>
        </is>
      </c>
      <c r="D11" s="25" t="inlineStr">
        <is>
          <t>Express feature</t>
        </is>
      </c>
      <c r="E11" s="25" t="inlineStr">
        <is>
          <t>1 tutorial</t>
        </is>
      </c>
      <c r="F11" s="46" t="n">
        <v>2400</v>
      </c>
      <c r="G11" s="24" t="inlineStr">
        <is>
          <t>Lead</t>
        </is>
      </c>
      <c r="H11" s="24" t="inlineStr">
        <is>
          <t>Not Sent</t>
        </is>
      </c>
      <c r="I11" s="23" t="n">
        <v>46281</v>
      </c>
    </row>
    <row r="12">
      <c r="A12" s="27" t="inlineStr">
        <is>
          <t>HelloFresh</t>
        </is>
      </c>
      <c r="B12" s="28" t="inlineStr">
        <is>
          <t>Owen B.</t>
        </is>
      </c>
      <c r="C12" s="28" t="inlineStr">
        <is>
          <t>influencer@hellofresh.com</t>
        </is>
      </c>
      <c r="D12" s="28" t="inlineStr">
        <is>
          <t>Meal kit</t>
        </is>
      </c>
      <c r="E12" s="28" t="inlineStr">
        <is>
          <t>1 reel + story</t>
        </is>
      </c>
      <c r="F12" s="42" t="n">
        <v>1100</v>
      </c>
      <c r="G12" s="27" t="inlineStr">
        <is>
          <t>Paid</t>
        </is>
      </c>
      <c r="H12" s="27" t="inlineStr">
        <is>
          <t>Paid</t>
        </is>
      </c>
      <c r="I12" s="26" t="n">
        <v>46166</v>
      </c>
    </row>
    <row r="13">
      <c r="A13" s="24" t="n"/>
      <c r="B13" s="25" t="n"/>
      <c r="C13" s="25" t="n"/>
      <c r="D13" s="25" t="n"/>
      <c r="E13" s="25" t="n"/>
      <c r="F13" s="46" t="n"/>
      <c r="G13" s="24" t="n"/>
      <c r="H13" s="24" t="n"/>
      <c r="I13" s="23" t="n"/>
    </row>
    <row r="14">
      <c r="A14" s="27" t="n"/>
      <c r="B14" s="28" t="n"/>
      <c r="C14" s="28" t="n"/>
      <c r="D14" s="28" t="n"/>
      <c r="E14" s="28" t="n"/>
      <c r="F14" s="42" t="n"/>
      <c r="G14" s="27" t="n"/>
      <c r="H14" s="27" t="n"/>
      <c r="I14" s="26" t="n"/>
    </row>
    <row r="15">
      <c r="A15" s="24" t="n"/>
      <c r="B15" s="25" t="n"/>
      <c r="C15" s="25" t="n"/>
      <c r="D15" s="25" t="n"/>
      <c r="E15" s="25" t="n"/>
      <c r="F15" s="46" t="n"/>
      <c r="G15" s="24" t="n"/>
      <c r="H15" s="24" t="n"/>
      <c r="I15" s="23" t="n"/>
    </row>
    <row r="16">
      <c r="A16" s="27" t="n"/>
      <c r="B16" s="28" t="n"/>
      <c r="C16" s="28" t="n"/>
      <c r="D16" s="28" t="n"/>
      <c r="E16" s="28" t="n"/>
      <c r="F16" s="42" t="n"/>
      <c r="G16" s="27" t="n"/>
      <c r="H16" s="27" t="n"/>
      <c r="I16" s="26" t="n"/>
    </row>
    <row r="17">
      <c r="A17" s="24" t="n"/>
      <c r="B17" s="25" t="n"/>
      <c r="C17" s="25" t="n"/>
      <c r="D17" s="25" t="n"/>
      <c r="E17" s="25" t="n"/>
      <c r="F17" s="46" t="n"/>
      <c r="G17" s="24" t="n"/>
      <c r="H17" s="24" t="n"/>
      <c r="I17" s="23" t="n"/>
    </row>
    <row r="18">
      <c r="A18" s="27" t="n"/>
      <c r="B18" s="28" t="n"/>
      <c r="C18" s="28" t="n"/>
      <c r="D18" s="28" t="n"/>
      <c r="E18" s="28" t="n"/>
      <c r="F18" s="42" t="n"/>
      <c r="G18" s="27" t="n"/>
      <c r="H18" s="27" t="n"/>
      <c r="I18" s="26" t="n"/>
    </row>
    <row r="19">
      <c r="A19" s="24" t="n"/>
      <c r="B19" s="25" t="n"/>
      <c r="C19" s="25" t="n"/>
      <c r="D19" s="25" t="n"/>
      <c r="E19" s="25" t="n"/>
      <c r="F19" s="46" t="n"/>
      <c r="G19" s="24" t="n"/>
      <c r="H19" s="24" t="n"/>
      <c r="I19" s="23" t="n"/>
    </row>
    <row r="20">
      <c r="A20" s="27" t="n"/>
      <c r="B20" s="28" t="n"/>
      <c r="C20" s="28" t="n"/>
      <c r="D20" s="28" t="n"/>
      <c r="E20" s="28" t="n"/>
      <c r="F20" s="42" t="n"/>
      <c r="G20" s="27" t="n"/>
      <c r="H20" s="27" t="n"/>
      <c r="I20" s="26" t="n"/>
    </row>
    <row r="21">
      <c r="A21" s="24" t="n"/>
      <c r="B21" s="25" t="n"/>
      <c r="C21" s="25" t="n"/>
      <c r="D21" s="25" t="n"/>
      <c r="E21" s="25" t="n"/>
      <c r="F21" s="46" t="n"/>
      <c r="G21" s="24" t="n"/>
      <c r="H21" s="24" t="n"/>
      <c r="I21" s="23" t="n"/>
    </row>
    <row r="22">
      <c r="A22" s="27" t="n"/>
      <c r="B22" s="28" t="n"/>
      <c r="C22" s="28" t="n"/>
      <c r="D22" s="28" t="n"/>
      <c r="E22" s="28" t="n"/>
      <c r="F22" s="42" t="n"/>
      <c r="G22" s="27" t="n"/>
      <c r="H22" s="27" t="n"/>
      <c r="I22" s="26" t="n"/>
    </row>
    <row r="23">
      <c r="A23" s="24" t="n"/>
      <c r="B23" s="25" t="n"/>
      <c r="C23" s="25" t="n"/>
      <c r="D23" s="25" t="n"/>
      <c r="E23" s="25" t="n"/>
      <c r="F23" s="46" t="n"/>
      <c r="G23" s="24" t="n"/>
      <c r="H23" s="24" t="n"/>
      <c r="I23" s="23" t="n"/>
    </row>
    <row r="24">
      <c r="A24" s="27" t="n"/>
      <c r="B24" s="28" t="n"/>
      <c r="C24" s="28" t="n"/>
      <c r="D24" s="28" t="n"/>
      <c r="E24" s="28" t="n"/>
      <c r="F24" s="42" t="n"/>
      <c r="G24" s="27" t="n"/>
      <c r="H24" s="27" t="n"/>
      <c r="I24" s="26" t="n"/>
    </row>
    <row r="25">
      <c r="A25" s="24" t="n"/>
      <c r="B25" s="25" t="n"/>
      <c r="C25" s="25" t="n"/>
      <c r="D25" s="25" t="n"/>
      <c r="E25" s="25" t="n"/>
      <c r="F25" s="46" t="n"/>
      <c r="G25" s="24" t="n"/>
      <c r="H25" s="24" t="n"/>
      <c r="I25" s="23" t="n"/>
    </row>
    <row r="26">
      <c r="A26" s="27" t="n"/>
      <c r="B26" s="28" t="n"/>
      <c r="C26" s="28" t="n"/>
      <c r="D26" s="28" t="n"/>
      <c r="E26" s="28" t="n"/>
      <c r="F26" s="42" t="n"/>
      <c r="G26" s="27" t="n"/>
      <c r="H26" s="27" t="n"/>
      <c r="I26" s="26" t="n"/>
    </row>
    <row r="27">
      <c r="A27" s="24" t="n"/>
      <c r="B27" s="25" t="n"/>
      <c r="C27" s="25" t="n"/>
      <c r="D27" s="25" t="n"/>
      <c r="E27" s="25" t="n"/>
      <c r="F27" s="46" t="n"/>
      <c r="G27" s="24" t="n"/>
      <c r="H27" s="24" t="n"/>
      <c r="I27" s="23" t="n"/>
    </row>
    <row r="28">
      <c r="A28" s="27" t="n"/>
      <c r="B28" s="28" t="n"/>
      <c r="C28" s="28" t="n"/>
      <c r="D28" s="28" t="n"/>
      <c r="E28" s="28" t="n"/>
      <c r="F28" s="42" t="n"/>
      <c r="G28" s="27" t="n"/>
      <c r="H28" s="27" t="n"/>
      <c r="I28" s="26" t="n"/>
    </row>
    <row r="29">
      <c r="A29" s="24" t="n"/>
      <c r="B29" s="25" t="n"/>
      <c r="C29" s="25" t="n"/>
      <c r="D29" s="25" t="n"/>
      <c r="E29" s="25" t="n"/>
      <c r="F29" s="46" t="n"/>
      <c r="G29" s="24" t="n"/>
      <c r="H29" s="24" t="n"/>
      <c r="I29" s="23" t="n"/>
    </row>
    <row r="30">
      <c r="A30" s="27" t="n"/>
      <c r="B30" s="28" t="n"/>
      <c r="C30" s="28" t="n"/>
      <c r="D30" s="28" t="n"/>
      <c r="E30" s="28" t="n"/>
      <c r="F30" s="42" t="n"/>
      <c r="G30" s="27" t="n"/>
      <c r="H30" s="27" t="n"/>
      <c r="I30" s="26" t="n"/>
    </row>
    <row r="31">
      <c r="A31" s="24" t="n"/>
      <c r="B31" s="25" t="n"/>
      <c r="C31" s="25" t="n"/>
      <c r="D31" s="25" t="n"/>
      <c r="E31" s="25" t="n"/>
      <c r="F31" s="46" t="n"/>
      <c r="G31" s="24" t="n"/>
      <c r="H31" s="24" t="n"/>
      <c r="I31" s="23" t="n"/>
    </row>
    <row r="32">
      <c r="A32" s="27" t="n"/>
      <c r="B32" s="28" t="n"/>
      <c r="C32" s="28" t="n"/>
      <c r="D32" s="28" t="n"/>
      <c r="E32" s="28" t="n"/>
      <c r="F32" s="42" t="n"/>
      <c r="G32" s="27" t="n"/>
      <c r="H32" s="27" t="n"/>
      <c r="I32" s="26" t="n"/>
    </row>
    <row r="33">
      <c r="A33" s="24" t="n"/>
      <c r="B33" s="25" t="n"/>
      <c r="C33" s="25" t="n"/>
      <c r="D33" s="25" t="n"/>
      <c r="E33" s="25" t="n"/>
      <c r="F33" s="46" t="n"/>
      <c r="G33" s="24" t="n"/>
      <c r="H33" s="24" t="n"/>
      <c r="I33" s="23" t="n"/>
    </row>
    <row r="34">
      <c r="A34" s="27" t="n"/>
      <c r="B34" s="28" t="n"/>
      <c r="C34" s="28" t="n"/>
      <c r="D34" s="28" t="n"/>
      <c r="E34" s="28" t="n"/>
      <c r="F34" s="42" t="n"/>
      <c r="G34" s="27" t="n"/>
      <c r="H34" s="27" t="n"/>
      <c r="I34" s="26" t="n"/>
    </row>
  </sheetData>
  <mergeCells count="2">
    <mergeCell ref="A1:I1"/>
    <mergeCell ref="A2:I2"/>
  </mergeCells>
  <conditionalFormatting sqref="G5:G34">
    <cfRule type="cellIs" priority="1" operator="equal" dxfId="0">
      <formula>"Paid"</formula>
    </cfRule>
    <cfRule type="cellIs" priority="2" operator="equal" dxfId="1">
      <formula>"Signed"</formula>
    </cfRule>
    <cfRule type="cellIs" priority="3" operator="equal" dxfId="2">
      <formula>"Delivered"</formula>
    </cfRule>
    <cfRule type="cellIs" priority="4" operator="equal" dxfId="4">
      <formula>"Lead"</formula>
    </cfRule>
  </conditionalFormatting>
  <conditionalFormatting sqref="H5:H34">
    <cfRule type="cellIs" priority="5" operator="equal" dxfId="6">
      <formula>"Overdue"</formula>
    </cfRule>
  </conditionalFormatting>
  <dataValidations count="2">
    <dataValidation sqref="G5:G34" showDropDown="0" showInputMessage="0" showErrorMessage="0" allowBlank="1" type="list">
      <formula1>=SponStageList</formula1>
    </dataValidation>
    <dataValidation sqref="H5:H34" showDropDown="0" showInputMessage="0" showErrorMessage="0" allowBlank="1" type="list">
      <formula1>=InvoiceStatusList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2" customWidth="1" min="4" max="4"/>
    <col width="11" customWidth="1" min="5" max="5"/>
    <col width="13" customWidth="1" min="6" max="6"/>
    <col width="13" customWidth="1" min="7" max="7"/>
  </cols>
  <sheetData>
    <row r="1" ht="46" customHeight="1">
      <c r="A1" s="1" t="inlineStr">
        <is>
          <t xml:space="preserve">  🔗  AFFILIATE TRACKER</t>
        </is>
      </c>
    </row>
    <row r="2" ht="22" customHeight="1">
      <c r="A2" s="2" t="inlineStr">
        <is>
          <t xml:space="preserve">  Passive income, tracked — clicks, conversions &amp; commission by program.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Program</t>
        </is>
      </c>
      <c r="B4" s="7" t="inlineStr">
        <is>
          <t>Product</t>
        </is>
      </c>
      <c r="C4" s="7" t="inlineStr">
        <is>
          <t>Commission</t>
        </is>
      </c>
      <c r="D4" s="7" t="inlineStr">
        <is>
          <t>Clicks</t>
        </is>
      </c>
      <c r="E4" s="7" t="inlineStr">
        <is>
          <t>Sales</t>
        </is>
      </c>
      <c r="F4" s="7" t="inlineStr">
        <is>
          <t>Revenue</t>
        </is>
      </c>
      <c r="G4" s="7" t="inlineStr">
        <is>
          <t>Payout</t>
        </is>
      </c>
    </row>
    <row r="5">
      <c r="A5" s="25" t="inlineStr">
        <is>
          <t>Amazon Associates</t>
        </is>
      </c>
      <c r="B5" s="25" t="inlineStr">
        <is>
          <t>Gear picks</t>
        </is>
      </c>
      <c r="C5" s="29" t="n">
        <v>0.04</v>
      </c>
      <c r="D5" s="31" t="n">
        <v>3200</v>
      </c>
      <c r="E5" s="31" t="n">
        <v>96</v>
      </c>
      <c r="F5" s="46" t="n">
        <v>410</v>
      </c>
      <c r="G5" s="23" t="n">
        <v>46196</v>
      </c>
    </row>
    <row r="6">
      <c r="A6" s="28" t="inlineStr">
        <is>
          <t>Notion</t>
        </is>
      </c>
      <c r="B6" s="28" t="inlineStr">
        <is>
          <t>Template affiliate</t>
        </is>
      </c>
      <c r="C6" s="30" t="n">
        <v>0.5</v>
      </c>
      <c r="D6" s="33" t="n">
        <v>890</v>
      </c>
      <c r="E6" s="33" t="n">
        <v>42</v>
      </c>
      <c r="F6" s="42" t="n">
        <v>380</v>
      </c>
      <c r="G6" s="26" t="n">
        <v>46221</v>
      </c>
    </row>
    <row r="7">
      <c r="A7" s="25" t="inlineStr">
        <is>
          <t>Riverside</t>
        </is>
      </c>
      <c r="B7" s="25" t="inlineStr">
        <is>
          <t>Recording tool</t>
        </is>
      </c>
      <c r="C7" s="29" t="n">
        <v>0.3</v>
      </c>
      <c r="D7" s="31" t="n">
        <v>540</v>
      </c>
      <c r="E7" s="31" t="n">
        <v>18</v>
      </c>
      <c r="F7" s="46" t="n">
        <v>210</v>
      </c>
      <c r="G7" s="23" t="n">
        <v>46211</v>
      </c>
    </row>
    <row r="8">
      <c r="A8" s="28" t="inlineStr">
        <is>
          <t>Epidemic Sound</t>
        </is>
      </c>
      <c r="B8" s="28" t="inlineStr">
        <is>
          <t>Music referrals</t>
        </is>
      </c>
      <c r="C8" s="30" t="n">
        <v>0.25</v>
      </c>
      <c r="D8" s="33" t="n">
        <v>720</v>
      </c>
      <c r="E8" s="33" t="n">
        <v>34</v>
      </c>
      <c r="F8" s="42" t="n">
        <v>118</v>
      </c>
      <c r="G8" s="26" t="n">
        <v>46198</v>
      </c>
    </row>
    <row r="9">
      <c r="A9" s="25" t="inlineStr">
        <is>
          <t>ConvertKit</t>
        </is>
      </c>
      <c r="B9" s="25" t="inlineStr">
        <is>
          <t>Email tool</t>
        </is>
      </c>
      <c r="C9" s="29" t="n">
        <v>0.3</v>
      </c>
      <c r="D9" s="31" t="n">
        <v>260</v>
      </c>
      <c r="E9" s="31" t="n">
        <v>9</v>
      </c>
      <c r="F9" s="46" t="n">
        <v>32</v>
      </c>
      <c r="G9" s="23" t="n">
        <v>46226</v>
      </c>
    </row>
    <row r="10">
      <c r="A10" s="28" t="n"/>
      <c r="B10" s="28" t="n"/>
      <c r="C10" s="30" t="n"/>
      <c r="D10" s="33" t="n"/>
      <c r="E10" s="33" t="n"/>
      <c r="F10" s="42" t="n"/>
      <c r="G10" s="26" t="n"/>
    </row>
    <row r="11">
      <c r="A11" s="25" t="n"/>
      <c r="B11" s="25" t="n"/>
      <c r="C11" s="29" t="n"/>
      <c r="D11" s="31" t="n"/>
      <c r="E11" s="31" t="n"/>
      <c r="F11" s="46" t="n"/>
      <c r="G11" s="23" t="n"/>
    </row>
    <row r="12">
      <c r="A12" s="28" t="n"/>
      <c r="B12" s="28" t="n"/>
      <c r="C12" s="30" t="n"/>
      <c r="D12" s="33" t="n"/>
      <c r="E12" s="33" t="n"/>
      <c r="F12" s="42" t="n"/>
      <c r="G12" s="26" t="n"/>
    </row>
    <row r="13">
      <c r="A13" s="25" t="n"/>
      <c r="B13" s="25" t="n"/>
      <c r="C13" s="29" t="n"/>
      <c r="D13" s="31" t="n"/>
      <c r="E13" s="31" t="n"/>
      <c r="F13" s="46" t="n"/>
      <c r="G13" s="23" t="n"/>
    </row>
    <row r="14">
      <c r="A14" s="28" t="n"/>
      <c r="B14" s="28" t="n"/>
      <c r="C14" s="30" t="n"/>
      <c r="D14" s="33" t="n"/>
      <c r="E14" s="33" t="n"/>
      <c r="F14" s="42" t="n"/>
      <c r="G14" s="26" t="n"/>
    </row>
    <row r="15">
      <c r="A15" s="25" t="n"/>
      <c r="B15" s="25" t="n"/>
      <c r="C15" s="29" t="n"/>
      <c r="D15" s="31" t="n"/>
      <c r="E15" s="31" t="n"/>
      <c r="F15" s="46" t="n"/>
      <c r="G15" s="23" t="n"/>
    </row>
    <row r="16">
      <c r="A16" s="28" t="n"/>
      <c r="B16" s="28" t="n"/>
      <c r="C16" s="30" t="n"/>
      <c r="D16" s="33" t="n"/>
      <c r="E16" s="33" t="n"/>
      <c r="F16" s="42" t="n"/>
      <c r="G16" s="26" t="n"/>
    </row>
    <row r="17">
      <c r="A17" s="25" t="n"/>
      <c r="B17" s="25" t="n"/>
      <c r="C17" s="29" t="n"/>
      <c r="D17" s="31" t="n"/>
      <c r="E17" s="31" t="n"/>
      <c r="F17" s="46" t="n"/>
      <c r="G17" s="23" t="n"/>
    </row>
    <row r="18">
      <c r="A18" s="28" t="n"/>
      <c r="B18" s="28" t="n"/>
      <c r="C18" s="30" t="n"/>
      <c r="D18" s="33" t="n"/>
      <c r="E18" s="33" t="n"/>
      <c r="F18" s="42" t="n"/>
      <c r="G18" s="26" t="n"/>
    </row>
    <row r="19">
      <c r="A19" s="25" t="n"/>
      <c r="B19" s="25" t="n"/>
      <c r="C19" s="29" t="n"/>
      <c r="D19" s="31" t="n"/>
      <c r="E19" s="31" t="n"/>
      <c r="F19" s="46" t="n"/>
      <c r="G19" s="23" t="n"/>
    </row>
    <row r="20">
      <c r="A20" s="28" t="n"/>
      <c r="B20" s="28" t="n"/>
      <c r="C20" s="30" t="n"/>
      <c r="D20" s="33" t="n"/>
      <c r="E20" s="33" t="n"/>
      <c r="F20" s="42" t="n"/>
      <c r="G20" s="26" t="n"/>
    </row>
    <row r="21">
      <c r="A21" s="25" t="n"/>
      <c r="B21" s="25" t="n"/>
      <c r="C21" s="29" t="n"/>
      <c r="D21" s="31" t="n"/>
      <c r="E21" s="31" t="n"/>
      <c r="F21" s="46" t="n"/>
      <c r="G21" s="23" t="n"/>
    </row>
    <row r="22">
      <c r="A22" s="28" t="n"/>
      <c r="B22" s="28" t="n"/>
      <c r="C22" s="30" t="n"/>
      <c r="D22" s="33" t="n"/>
      <c r="E22" s="33" t="n"/>
      <c r="F22" s="42" t="n"/>
      <c r="G22" s="26" t="n"/>
    </row>
    <row r="23">
      <c r="A23" s="25" t="n"/>
      <c r="B23" s="25" t="n"/>
      <c r="C23" s="29" t="n"/>
      <c r="D23" s="31" t="n"/>
      <c r="E23" s="31" t="n"/>
      <c r="F23" s="46" t="n"/>
      <c r="G23" s="23" t="n"/>
    </row>
    <row r="24">
      <c r="A24" s="28" t="n"/>
      <c r="B24" s="28" t="n"/>
      <c r="C24" s="30" t="n"/>
      <c r="D24" s="33" t="n"/>
      <c r="E24" s="33" t="n"/>
      <c r="F24" s="42" t="n"/>
      <c r="G24" s="26" t="n"/>
    </row>
    <row r="25">
      <c r="A25" s="25" t="n"/>
      <c r="B25" s="25" t="n"/>
      <c r="C25" s="29" t="n"/>
      <c r="D25" s="31" t="n"/>
      <c r="E25" s="31" t="n"/>
      <c r="F25" s="46" t="n"/>
      <c r="G25" s="23" t="n"/>
    </row>
    <row r="26">
      <c r="A26" s="28" t="n"/>
      <c r="B26" s="28" t="n"/>
      <c r="C26" s="30" t="n"/>
      <c r="D26" s="33" t="n"/>
      <c r="E26" s="33" t="n"/>
      <c r="F26" s="42" t="n"/>
      <c r="G26" s="26" t="n"/>
    </row>
    <row r="27">
      <c r="A27" s="25" t="n"/>
      <c r="B27" s="25" t="n"/>
      <c r="C27" s="29" t="n"/>
      <c r="D27" s="31" t="n"/>
      <c r="E27" s="31" t="n"/>
      <c r="F27" s="46" t="n"/>
      <c r="G27" s="23" t="n"/>
    </row>
    <row r="28">
      <c r="A28" s="28" t="n"/>
      <c r="B28" s="28" t="n"/>
      <c r="C28" s="30" t="n"/>
      <c r="D28" s="33" t="n"/>
      <c r="E28" s="33" t="n"/>
      <c r="F28" s="42" t="n"/>
      <c r="G28" s="26" t="n"/>
    </row>
    <row r="29">
      <c r="A29" s="25" t="n"/>
      <c r="B29" s="25" t="n"/>
      <c r="C29" s="29" t="n"/>
      <c r="D29" s="31" t="n"/>
      <c r="E29" s="31" t="n"/>
      <c r="F29" s="46" t="n"/>
      <c r="G29" s="23" t="n"/>
    </row>
    <row r="30">
      <c r="A30" s="28" t="n"/>
      <c r="B30" s="28" t="n"/>
      <c r="C30" s="30" t="n"/>
      <c r="D30" s="33" t="n"/>
      <c r="E30" s="33" t="n"/>
      <c r="F30" s="42" t="n"/>
      <c r="G30" s="26" t="n"/>
    </row>
    <row r="31">
      <c r="A31" s="25" t="n"/>
      <c r="B31" s="25" t="n"/>
      <c r="C31" s="29" t="n"/>
      <c r="D31" s="31" t="n"/>
      <c r="E31" s="31" t="n"/>
      <c r="F31" s="46" t="n"/>
      <c r="G31" s="23" t="n"/>
    </row>
    <row r="32">
      <c r="A32" s="28" t="n"/>
      <c r="B32" s="28" t="n"/>
      <c r="C32" s="30" t="n"/>
      <c r="D32" s="33" t="n"/>
      <c r="E32" s="33" t="n"/>
      <c r="F32" s="42" t="n"/>
      <c r="G32" s="26" t="n"/>
    </row>
    <row r="33">
      <c r="A33" s="25" t="n"/>
      <c r="B33" s="25" t="n"/>
      <c r="C33" s="29" t="n"/>
      <c r="D33" s="31" t="n"/>
      <c r="E33" s="31" t="n"/>
      <c r="F33" s="46" t="n"/>
      <c r="G33" s="23" t="n"/>
    </row>
    <row r="34">
      <c r="A34" s="28" t="n"/>
      <c r="B34" s="28" t="n"/>
      <c r="C34" s="30" t="n"/>
      <c r="D34" s="33" t="n"/>
      <c r="E34" s="33" t="n"/>
      <c r="F34" s="42" t="n"/>
      <c r="G34" s="26" t="n"/>
    </row>
    <row r="35">
      <c r="A35" s="7" t="inlineStr">
        <is>
          <t>TOTAL</t>
        </is>
      </c>
      <c r="D35" s="47">
        <f>SUM(D5:D34)</f>
        <v/>
      </c>
      <c r="E35" s="47">
        <f>SUM(E5:E34)</f>
        <v/>
      </c>
      <c r="F35" s="45">
        <f>SUM(F5:F34)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2" customWidth="1" min="4" max="4"/>
    <col width="13" customWidth="1" min="5" max="5"/>
    <col width="11" customWidth="1" min="6" max="6"/>
    <col width="13" customWidth="1" min="7" max="7"/>
    <col width="12" customWidth="1" min="8" max="8"/>
  </cols>
  <sheetData>
    <row r="1" ht="46" customHeight="1">
      <c r="A1" s="1" t="inlineStr">
        <is>
          <t xml:space="preserve">  📦  DIGITAL PRODUCT DASHBOARD</t>
        </is>
      </c>
    </row>
    <row r="2" ht="22" customHeight="1">
      <c r="A2" s="2" t="inlineStr">
        <is>
          <t xml:space="preserve">  Products that sell while you sleep — units, revenue, refunds &amp; profit per product.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Product</t>
        </is>
      </c>
      <c r="B4" s="7" t="inlineStr">
        <is>
          <t>Launched</t>
        </is>
      </c>
      <c r="C4" s="7" t="inlineStr">
        <is>
          <t>Price</t>
        </is>
      </c>
      <c r="D4" s="7" t="inlineStr">
        <is>
          <t>Units Sold</t>
        </is>
      </c>
      <c r="E4" s="7" t="inlineStr">
        <is>
          <t>Revenue</t>
        </is>
      </c>
      <c r="F4" s="7" t="inlineStr">
        <is>
          <t>Refunds</t>
        </is>
      </c>
      <c r="G4" s="7" t="inlineStr">
        <is>
          <t>Net Profit</t>
        </is>
      </c>
      <c r="H4" s="7" t="inlineStr">
        <is>
          <t>Rating</t>
        </is>
      </c>
    </row>
    <row r="5">
      <c r="A5" s="25" t="inlineStr">
        <is>
          <t>Content OS (Notion)</t>
        </is>
      </c>
      <c r="B5" s="23" t="n">
        <v>46086</v>
      </c>
      <c r="C5" s="46" t="n">
        <v>49</v>
      </c>
      <c r="D5" s="31" t="n">
        <v>186</v>
      </c>
      <c r="E5" s="46">
        <f>C5*D5</f>
        <v/>
      </c>
      <c r="F5" s="31" t="n">
        <v>12</v>
      </c>
      <c r="G5" s="46">
        <f>E5-C5*F5</f>
        <v/>
      </c>
      <c r="H5" s="32" t="n">
        <v>4.9</v>
      </c>
    </row>
    <row r="6">
      <c r="A6" s="28" t="inlineStr">
        <is>
          <t>Creator Tax Kit</t>
        </is>
      </c>
      <c r="B6" s="26" t="n">
        <v>46126</v>
      </c>
      <c r="C6" s="42" t="n">
        <v>29</v>
      </c>
      <c r="D6" s="33" t="n">
        <v>142</v>
      </c>
      <c r="E6" s="42">
        <f>C6*D6</f>
        <v/>
      </c>
      <c r="F6" s="33" t="n">
        <v>6</v>
      </c>
      <c r="G6" s="42">
        <f>E6-C6*F6</f>
        <v/>
      </c>
      <c r="H6" s="34" t="n">
        <v>4.8</v>
      </c>
    </row>
    <row r="7">
      <c r="A7" s="25" t="inlineStr">
        <is>
          <t>Thumbnail Pack</t>
        </is>
      </c>
      <c r="B7" s="23" t="n">
        <v>46006</v>
      </c>
      <c r="C7" s="46" t="n">
        <v>19</v>
      </c>
      <c r="D7" s="31" t="n">
        <v>240</v>
      </c>
      <c r="E7" s="46">
        <f>C7*D7</f>
        <v/>
      </c>
      <c r="F7" s="31" t="n">
        <v>15</v>
      </c>
      <c r="G7" s="46">
        <f>E7-C7*F7</f>
        <v/>
      </c>
      <c r="H7" s="32" t="n">
        <v>4.7</v>
      </c>
    </row>
    <row r="8">
      <c r="A8" s="28" t="inlineStr">
        <is>
          <t>Pricing Playbook</t>
        </is>
      </c>
      <c r="B8" s="26" t="n">
        <v>46166</v>
      </c>
      <c r="C8" s="42" t="n">
        <v>39</v>
      </c>
      <c r="D8" s="33" t="n">
        <v>68</v>
      </c>
      <c r="E8" s="42">
        <f>C8*D8</f>
        <v/>
      </c>
      <c r="F8" s="33" t="n">
        <v>2</v>
      </c>
      <c r="G8" s="42">
        <f>E8-C8*F8</f>
        <v/>
      </c>
      <c r="H8" s="34" t="n">
        <v>4.9</v>
      </c>
    </row>
    <row r="9">
      <c r="A9" s="25" t="inlineStr">
        <is>
          <t>Sponsorship Templates</t>
        </is>
      </c>
      <c r="B9" s="23" t="n">
        <v>46146</v>
      </c>
      <c r="C9" s="46" t="n">
        <v>24</v>
      </c>
      <c r="D9" s="31" t="n">
        <v>96</v>
      </c>
      <c r="E9" s="46">
        <f>C9*D9</f>
        <v/>
      </c>
      <c r="F9" s="31" t="n">
        <v>5</v>
      </c>
      <c r="G9" s="46">
        <f>E9-C9*F9</f>
        <v/>
      </c>
      <c r="H9" s="32" t="n">
        <v>4.8</v>
      </c>
    </row>
    <row r="10">
      <c r="A10" s="28" t="n"/>
      <c r="B10" s="26" t="n"/>
      <c r="C10" s="42" t="n"/>
      <c r="D10" s="33" t="n"/>
      <c r="E10" s="42" t="n"/>
      <c r="F10" s="33" t="n"/>
      <c r="G10" s="42" t="n"/>
      <c r="H10" s="34" t="n"/>
    </row>
    <row r="11">
      <c r="A11" s="25" t="n"/>
      <c r="B11" s="23" t="n"/>
      <c r="C11" s="46" t="n"/>
      <c r="D11" s="31" t="n"/>
      <c r="E11" s="46" t="n"/>
      <c r="F11" s="31" t="n"/>
      <c r="G11" s="46" t="n"/>
      <c r="H11" s="32" t="n"/>
    </row>
    <row r="12">
      <c r="A12" s="28" t="n"/>
      <c r="B12" s="26" t="n"/>
      <c r="C12" s="42" t="n"/>
      <c r="D12" s="33" t="n"/>
      <c r="E12" s="42" t="n"/>
      <c r="F12" s="33" t="n"/>
      <c r="G12" s="42" t="n"/>
      <c r="H12" s="34" t="n"/>
    </row>
    <row r="13">
      <c r="A13" s="25" t="n"/>
      <c r="B13" s="23" t="n"/>
      <c r="C13" s="46" t="n"/>
      <c r="D13" s="31" t="n"/>
      <c r="E13" s="46" t="n"/>
      <c r="F13" s="31" t="n"/>
      <c r="G13" s="46" t="n"/>
      <c r="H13" s="32" t="n"/>
    </row>
    <row r="14">
      <c r="A14" s="28" t="n"/>
      <c r="B14" s="26" t="n"/>
      <c r="C14" s="42" t="n"/>
      <c r="D14" s="33" t="n"/>
      <c r="E14" s="42" t="n"/>
      <c r="F14" s="33" t="n"/>
      <c r="G14" s="42" t="n"/>
      <c r="H14" s="34" t="n"/>
    </row>
    <row r="15">
      <c r="A15" s="25" t="n"/>
      <c r="B15" s="23" t="n"/>
      <c r="C15" s="46" t="n"/>
      <c r="D15" s="31" t="n"/>
      <c r="E15" s="46" t="n"/>
      <c r="F15" s="31" t="n"/>
      <c r="G15" s="46" t="n"/>
      <c r="H15" s="32" t="n"/>
    </row>
    <row r="16">
      <c r="A16" s="28" t="n"/>
      <c r="B16" s="26" t="n"/>
      <c r="C16" s="42" t="n"/>
      <c r="D16" s="33" t="n"/>
      <c r="E16" s="42" t="n"/>
      <c r="F16" s="33" t="n"/>
      <c r="G16" s="42" t="n"/>
      <c r="H16" s="34" t="n"/>
    </row>
    <row r="17">
      <c r="A17" s="25" t="n"/>
      <c r="B17" s="23" t="n"/>
      <c r="C17" s="46" t="n"/>
      <c r="D17" s="31" t="n"/>
      <c r="E17" s="46" t="n"/>
      <c r="F17" s="31" t="n"/>
      <c r="G17" s="46" t="n"/>
      <c r="H17" s="32" t="n"/>
    </row>
    <row r="18">
      <c r="A18" s="28" t="n"/>
      <c r="B18" s="26" t="n"/>
      <c r="C18" s="42" t="n"/>
      <c r="D18" s="33" t="n"/>
      <c r="E18" s="42" t="n"/>
      <c r="F18" s="33" t="n"/>
      <c r="G18" s="42" t="n"/>
      <c r="H18" s="34" t="n"/>
    </row>
    <row r="19">
      <c r="A19" s="25" t="n"/>
      <c r="B19" s="23" t="n"/>
      <c r="C19" s="46" t="n"/>
      <c r="D19" s="31" t="n"/>
      <c r="E19" s="46" t="n"/>
      <c r="F19" s="31" t="n"/>
      <c r="G19" s="46" t="n"/>
      <c r="H19" s="32" t="n"/>
    </row>
    <row r="20">
      <c r="A20" s="28" t="n"/>
      <c r="B20" s="26" t="n"/>
      <c r="C20" s="42" t="n"/>
      <c r="D20" s="33" t="n"/>
      <c r="E20" s="42" t="n"/>
      <c r="F20" s="33" t="n"/>
      <c r="G20" s="42" t="n"/>
      <c r="H20" s="34" t="n"/>
    </row>
    <row r="21">
      <c r="A21" s="25" t="n"/>
      <c r="B21" s="23" t="n"/>
      <c r="C21" s="46" t="n"/>
      <c r="D21" s="31" t="n"/>
      <c r="E21" s="46" t="n"/>
      <c r="F21" s="31" t="n"/>
      <c r="G21" s="46" t="n"/>
      <c r="H21" s="32" t="n"/>
    </row>
    <row r="22">
      <c r="A22" s="28" t="n"/>
      <c r="B22" s="26" t="n"/>
      <c r="C22" s="42" t="n"/>
      <c r="D22" s="33" t="n"/>
      <c r="E22" s="42" t="n"/>
      <c r="F22" s="33" t="n"/>
      <c r="G22" s="42" t="n"/>
      <c r="H22" s="34" t="n"/>
    </row>
    <row r="23">
      <c r="A23" s="25" t="n"/>
      <c r="B23" s="23" t="n"/>
      <c r="C23" s="46" t="n"/>
      <c r="D23" s="31" t="n"/>
      <c r="E23" s="46" t="n"/>
      <c r="F23" s="31" t="n"/>
      <c r="G23" s="46" t="n"/>
      <c r="H23" s="32" t="n"/>
    </row>
    <row r="24">
      <c r="A24" s="28" t="n"/>
      <c r="B24" s="26" t="n"/>
      <c r="C24" s="42" t="n"/>
      <c r="D24" s="33" t="n"/>
      <c r="E24" s="42" t="n"/>
      <c r="F24" s="33" t="n"/>
      <c r="G24" s="42" t="n"/>
      <c r="H24" s="34" t="n"/>
    </row>
    <row r="25">
      <c r="A25" s="25" t="n"/>
      <c r="B25" s="23" t="n"/>
      <c r="C25" s="46" t="n"/>
      <c r="D25" s="31" t="n"/>
      <c r="E25" s="46" t="n"/>
      <c r="F25" s="31" t="n"/>
      <c r="G25" s="46" t="n"/>
      <c r="H25" s="32" t="n"/>
    </row>
    <row r="26">
      <c r="A26" s="28" t="n"/>
      <c r="B26" s="26" t="n"/>
      <c r="C26" s="42" t="n"/>
      <c r="D26" s="33" t="n"/>
      <c r="E26" s="42" t="n"/>
      <c r="F26" s="33" t="n"/>
      <c r="G26" s="42" t="n"/>
      <c r="H26" s="34" t="n"/>
    </row>
    <row r="27">
      <c r="A27" s="25" t="n"/>
      <c r="B27" s="23" t="n"/>
      <c r="C27" s="46" t="n"/>
      <c r="D27" s="31" t="n"/>
      <c r="E27" s="46" t="n"/>
      <c r="F27" s="31" t="n"/>
      <c r="G27" s="46" t="n"/>
      <c r="H27" s="32" t="n"/>
    </row>
    <row r="28">
      <c r="A28" s="28" t="n"/>
      <c r="B28" s="26" t="n"/>
      <c r="C28" s="42" t="n"/>
      <c r="D28" s="33" t="n"/>
      <c r="E28" s="42" t="n"/>
      <c r="F28" s="33" t="n"/>
      <c r="G28" s="42" t="n"/>
      <c r="H28" s="34" t="n"/>
    </row>
    <row r="29">
      <c r="A29" s="25" t="n"/>
      <c r="B29" s="23" t="n"/>
      <c r="C29" s="46" t="n"/>
      <c r="D29" s="31" t="n"/>
      <c r="E29" s="46" t="n"/>
      <c r="F29" s="31" t="n"/>
      <c r="G29" s="46" t="n"/>
      <c r="H29" s="32" t="n"/>
    </row>
    <row r="30">
      <c r="A30" s="28" t="n"/>
      <c r="B30" s="26" t="n"/>
      <c r="C30" s="42" t="n"/>
      <c r="D30" s="33" t="n"/>
      <c r="E30" s="42" t="n"/>
      <c r="F30" s="33" t="n"/>
      <c r="G30" s="42" t="n"/>
      <c r="H30" s="34" t="n"/>
    </row>
    <row r="31">
      <c r="A31" s="25" t="n"/>
      <c r="B31" s="23" t="n"/>
      <c r="C31" s="46" t="n"/>
      <c r="D31" s="31" t="n"/>
      <c r="E31" s="46" t="n"/>
      <c r="F31" s="31" t="n"/>
      <c r="G31" s="46" t="n"/>
      <c r="H31" s="32" t="n"/>
    </row>
    <row r="32">
      <c r="A32" s="28" t="n"/>
      <c r="B32" s="26" t="n"/>
      <c r="C32" s="42" t="n"/>
      <c r="D32" s="33" t="n"/>
      <c r="E32" s="42" t="n"/>
      <c r="F32" s="33" t="n"/>
      <c r="G32" s="42" t="n"/>
      <c r="H32" s="34" t="n"/>
    </row>
    <row r="33">
      <c r="A33" s="25" t="n"/>
      <c r="B33" s="23" t="n"/>
      <c r="C33" s="46" t="n"/>
      <c r="D33" s="31" t="n"/>
      <c r="E33" s="46" t="n"/>
      <c r="F33" s="31" t="n"/>
      <c r="G33" s="46" t="n"/>
      <c r="H33" s="32" t="n"/>
    </row>
    <row r="34">
      <c r="A34" s="28" t="n"/>
      <c r="B34" s="26" t="n"/>
      <c r="C34" s="42" t="n"/>
      <c r="D34" s="33" t="n"/>
      <c r="E34" s="42" t="n"/>
      <c r="F34" s="33" t="n"/>
      <c r="G34" s="42" t="n"/>
      <c r="H34" s="34" t="n"/>
    </row>
    <row r="35">
      <c r="A35" s="7" t="inlineStr">
        <is>
          <t>TOTAL</t>
        </is>
      </c>
      <c r="D35" s="47">
        <f>SUM(D5:D34)</f>
        <v/>
      </c>
      <c r="E35" s="45">
        <f>SUM(E5:E34)</f>
        <v/>
      </c>
      <c r="G35" s="45">
        <f>SUM(G5:G34)</f>
        <v/>
      </c>
    </row>
  </sheetData>
  <mergeCells count="2">
    <mergeCell ref="A2:H2"/>
    <mergeCell ref="A1:H1"/>
  </mergeCells>
  <conditionalFormatting sqref="E5:E34">
    <cfRule type="dataBar" priority="1">
      <dataBar showValue="1">
        <cfvo type="num" val="0"/>
        <cfvo type="num" val="5000"/>
        <color rgb="001B4F48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3" customWidth="1" min="5" max="5"/>
    <col width="22" customWidth="1" min="6" max="6"/>
    <col width="14" customWidth="1" min="7" max="7"/>
  </cols>
  <sheetData>
    <row r="1" ht="46" customHeight="1">
      <c r="A1" s="1" t="inlineStr">
        <is>
          <t xml:space="preserve">  🧾  EXPENSE TRACKER</t>
        </is>
      </c>
    </row>
    <row r="2" ht="22" customHeight="1">
      <c r="A2" s="2" t="inlineStr">
        <is>
          <t xml:space="preserve">  Know what the business costs — every category, monthly &amp; annual, with share bars.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Expense Category</t>
        </is>
      </c>
      <c r="B4" s="7" t="inlineStr">
        <is>
          <t>This Month</t>
        </is>
      </c>
      <c r="C4" s="7" t="inlineStr">
        <is>
          <t>Annual (est.)</t>
        </is>
      </c>
      <c r="D4" s="7" t="inlineStr">
        <is>
          <t>% of Spend</t>
        </is>
      </c>
    </row>
    <row r="5">
      <c r="A5" s="35" t="inlineStr">
        <is>
          <t>Software</t>
        </is>
      </c>
      <c r="B5" s="37" t="n">
        <v>240</v>
      </c>
      <c r="C5" s="38">
        <f>B5*12</f>
        <v/>
      </c>
      <c r="D5" s="39">
        <f>IFERROR(B5/$B$16,0)</f>
        <v/>
      </c>
    </row>
    <row r="6">
      <c r="A6" s="28" t="inlineStr">
        <is>
          <t>Camera Gear</t>
        </is>
      </c>
      <c r="B6" s="41" t="n">
        <v>480</v>
      </c>
      <c r="C6" s="42">
        <f>B6*12</f>
        <v/>
      </c>
      <c r="D6" s="30">
        <f>IFERROR(B6/$B$16,0)</f>
        <v/>
      </c>
    </row>
    <row r="7">
      <c r="A7" s="35" t="inlineStr">
        <is>
          <t>Lighting</t>
        </is>
      </c>
      <c r="B7" s="37" t="n">
        <v>0</v>
      </c>
      <c r="C7" s="38">
        <f>B7*12</f>
        <v/>
      </c>
      <c r="D7" s="39">
        <f>IFERROR(B7/$B$16,0)</f>
        <v/>
      </c>
    </row>
    <row r="8">
      <c r="A8" s="28" t="inlineStr">
        <is>
          <t>Microphones</t>
        </is>
      </c>
      <c r="B8" s="41" t="n">
        <v>0</v>
      </c>
      <c r="C8" s="42">
        <f>B8*12</f>
        <v/>
      </c>
      <c r="D8" s="30">
        <f>IFERROR(B8/$B$16,0)</f>
        <v/>
      </c>
    </row>
    <row r="9">
      <c r="A9" s="35" t="inlineStr">
        <is>
          <t>Editing Tools</t>
        </is>
      </c>
      <c r="B9" s="37" t="n">
        <v>60</v>
      </c>
      <c r="C9" s="38">
        <f>B9*12</f>
        <v/>
      </c>
      <c r="D9" s="39">
        <f>IFERROR(B9/$B$16,0)</f>
        <v/>
      </c>
    </row>
    <row r="10">
      <c r="A10" s="28" t="inlineStr">
        <is>
          <t>Marketing</t>
        </is>
      </c>
      <c r="B10" s="41" t="n">
        <v>350</v>
      </c>
      <c r="C10" s="42">
        <f>B10*12</f>
        <v/>
      </c>
      <c r="D10" s="30">
        <f>IFERROR(B10/$B$16,0)</f>
        <v/>
      </c>
    </row>
    <row r="11">
      <c r="A11" s="35" t="inlineStr">
        <is>
          <t>Contractors</t>
        </is>
      </c>
      <c r="B11" s="37" t="n">
        <v>900</v>
      </c>
      <c r="C11" s="38">
        <f>B11*12</f>
        <v/>
      </c>
      <c r="D11" s="39">
        <f>IFERROR(B11/$B$16,0)</f>
        <v/>
      </c>
    </row>
    <row r="12">
      <c r="A12" s="28" t="inlineStr">
        <is>
          <t>Travel</t>
        </is>
      </c>
      <c r="B12" s="41" t="n">
        <v>120</v>
      </c>
      <c r="C12" s="42">
        <f>B12*12</f>
        <v/>
      </c>
      <c r="D12" s="30">
        <f>IFERROR(B12/$B$16,0)</f>
        <v/>
      </c>
    </row>
    <row r="13">
      <c r="A13" s="35" t="inlineStr">
        <is>
          <t>Education</t>
        </is>
      </c>
      <c r="B13" s="37" t="n">
        <v>99</v>
      </c>
      <c r="C13" s="38">
        <f>B13*12</f>
        <v/>
      </c>
      <c r="D13" s="39">
        <f>IFERROR(B13/$B$16,0)</f>
        <v/>
      </c>
    </row>
    <row r="14">
      <c r="A14" s="28" t="inlineStr">
        <is>
          <t>Office</t>
        </is>
      </c>
      <c r="B14" s="41" t="n">
        <v>80</v>
      </c>
      <c r="C14" s="42">
        <f>B14*12</f>
        <v/>
      </c>
      <c r="D14" s="30">
        <f>IFERROR(B14/$B$16,0)</f>
        <v/>
      </c>
    </row>
    <row r="15">
      <c r="A15" s="35" t="inlineStr">
        <is>
          <t>Miscellaneous</t>
        </is>
      </c>
      <c r="B15" s="37" t="n">
        <v>61</v>
      </c>
      <c r="C15" s="38">
        <f>B15*12</f>
        <v/>
      </c>
      <c r="D15" s="39">
        <f>IFERROR(B15/$B$16,0)</f>
        <v/>
      </c>
    </row>
    <row r="16">
      <c r="A16" s="7" t="inlineStr">
        <is>
          <t>TOTAL EXPENSES</t>
        </is>
      </c>
      <c r="B16" s="45">
        <f>SUM(B5:B15)</f>
        <v/>
      </c>
      <c r="C16" s="45">
        <f>SUM(C5:C15)</f>
        <v/>
      </c>
    </row>
  </sheetData>
  <mergeCells count="2">
    <mergeCell ref="A2:G2"/>
    <mergeCell ref="A1:G1"/>
  </mergeCells>
  <conditionalFormatting sqref="D5:D15">
    <cfRule type="dataBar" priority="1">
      <dataBar showValue="1">
        <cfvo type="num" val="0"/>
        <cfvo type="num" val="0.4"/>
        <color rgb="00937356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24" customWidth="1" min="4" max="4"/>
    <col width="16" customWidth="1" min="5" max="5"/>
  </cols>
  <sheetData>
    <row r="1" ht="46" customHeight="1">
      <c r="A1" s="1" t="inlineStr">
        <is>
          <t xml:space="preserve">  📅  BRAND DEAL CALENDAR</t>
        </is>
      </c>
    </row>
    <row r="2" ht="22" customHeight="1">
      <c r="A2" s="2" t="inlineStr">
        <is>
          <t xml:space="preserve">  Never miss a deliverable — due dates, approvals &amp; payment milestones in one line.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Brand</t>
        </is>
      </c>
      <c r="B4" s="7" t="inlineStr">
        <is>
          <t>Deliverable / Milestone</t>
        </is>
      </c>
      <c r="C4" s="7" t="inlineStr">
        <is>
          <t>Due Date</t>
        </is>
      </c>
      <c r="D4" s="7" t="inlineStr">
        <is>
          <t>Notes</t>
        </is>
      </c>
      <c r="E4" s="7" t="inlineStr">
        <is>
          <t>Status</t>
        </is>
      </c>
    </row>
    <row r="5">
      <c r="A5" s="24" t="inlineStr">
        <is>
          <t>Riverside</t>
        </is>
      </c>
      <c r="B5" s="25" t="inlineStr">
        <is>
          <t>Deliver final video</t>
        </is>
      </c>
      <c r="C5" s="23" t="n">
        <v>46204</v>
      </c>
      <c r="D5" s="25" t="inlineStr">
        <is>
          <t>Sent for approval</t>
        </is>
      </c>
      <c r="E5" s="24" t="inlineStr">
        <is>
          <t>Approved</t>
        </is>
      </c>
    </row>
    <row r="6">
      <c r="A6" s="27" t="inlineStr">
        <is>
          <t>Riverside</t>
        </is>
      </c>
      <c r="B6" s="28" t="inlineStr">
        <is>
          <t>Post stories (x2)</t>
        </is>
      </c>
      <c r="C6" s="26" t="n">
        <v>46209</v>
      </c>
      <c r="D6" s="28" t="inlineStr">
        <is>
          <t>Scheduled</t>
        </is>
      </c>
      <c r="E6" s="27" t="inlineStr">
        <is>
          <t>On track</t>
        </is>
      </c>
    </row>
    <row r="7">
      <c r="A7" s="24" t="inlineStr">
        <is>
          <t>Notion</t>
        </is>
      </c>
      <c r="B7" s="25" t="inlineStr">
        <is>
          <t>Newsletter mention</t>
        </is>
      </c>
      <c r="C7" s="23" t="n">
        <v>46201</v>
      </c>
      <c r="D7" s="25" t="inlineStr">
        <is>
          <t>Delivered</t>
        </is>
      </c>
      <c r="E7" s="24" t="inlineStr">
        <is>
          <t>Complete</t>
        </is>
      </c>
    </row>
    <row r="8">
      <c r="A8" s="27" t="inlineStr">
        <is>
          <t>Skillshare</t>
        </is>
      </c>
      <c r="B8" s="28" t="inlineStr">
        <is>
          <t>Approve script</t>
        </is>
      </c>
      <c r="C8" s="26" t="n">
        <v>46211</v>
      </c>
      <c r="D8" s="28" t="inlineStr">
        <is>
          <t>Awaiting brand</t>
        </is>
      </c>
      <c r="E8" s="27" t="inlineStr">
        <is>
          <t>Pending</t>
        </is>
      </c>
    </row>
    <row r="9">
      <c r="A9" s="24" t="inlineStr">
        <is>
          <t>Skillshare</t>
        </is>
      </c>
      <c r="B9" s="25" t="inlineStr">
        <is>
          <t>Film dedicated video</t>
        </is>
      </c>
      <c r="C9" s="23" t="n">
        <v>46218</v>
      </c>
      <c r="D9" s="25" t="inlineStr">
        <is>
          <t>Not started</t>
        </is>
      </c>
      <c r="E9" s="24" t="inlineStr">
        <is>
          <t>Upcoming</t>
        </is>
      </c>
    </row>
    <row r="10">
      <c r="A10" s="27" t="inlineStr">
        <is>
          <t>Epidemic Sound</t>
        </is>
      </c>
      <c r="B10" s="28" t="inlineStr">
        <is>
          <t>Monthly mention</t>
        </is>
      </c>
      <c r="C10" s="26" t="n">
        <v>46214</v>
      </c>
      <c r="D10" s="28" t="inlineStr">
        <is>
          <t>Recurring</t>
        </is>
      </c>
      <c r="E10" s="27" t="inlineStr">
        <is>
          <t>On track</t>
        </is>
      </c>
    </row>
    <row r="11">
      <c r="A11" s="24" t="inlineStr">
        <is>
          <t>Squarespace</t>
        </is>
      </c>
      <c r="B11" s="25" t="inlineStr">
        <is>
          <t>Invoice payment</t>
        </is>
      </c>
      <c r="C11" s="23" t="n">
        <v>46181</v>
      </c>
      <c r="D11" s="25" t="inlineStr">
        <is>
          <t>Paid</t>
        </is>
      </c>
      <c r="E11" s="24" t="inlineStr">
        <is>
          <t>Complete</t>
        </is>
      </c>
    </row>
    <row r="12">
      <c r="A12" s="27" t="n"/>
      <c r="B12" s="28" t="n"/>
      <c r="C12" s="26" t="n"/>
      <c r="D12" s="28" t="n"/>
      <c r="E12" s="27" t="n"/>
    </row>
    <row r="13">
      <c r="A13" s="24" t="n"/>
      <c r="B13" s="25" t="n"/>
      <c r="C13" s="23" t="n"/>
      <c r="D13" s="25" t="n"/>
      <c r="E13" s="24" t="n"/>
    </row>
    <row r="14">
      <c r="A14" s="27" t="n"/>
      <c r="B14" s="28" t="n"/>
      <c r="C14" s="26" t="n"/>
      <c r="D14" s="28" t="n"/>
      <c r="E14" s="27" t="n"/>
    </row>
    <row r="15">
      <c r="A15" s="24" t="n"/>
      <c r="B15" s="25" t="n"/>
      <c r="C15" s="23" t="n"/>
      <c r="D15" s="25" t="n"/>
      <c r="E15" s="24" t="n"/>
    </row>
    <row r="16">
      <c r="A16" s="27" t="n"/>
      <c r="B16" s="28" t="n"/>
      <c r="C16" s="26" t="n"/>
      <c r="D16" s="28" t="n"/>
      <c r="E16" s="27" t="n"/>
    </row>
    <row r="17">
      <c r="A17" s="24" t="n"/>
      <c r="B17" s="25" t="n"/>
      <c r="C17" s="23" t="n"/>
      <c r="D17" s="25" t="n"/>
      <c r="E17" s="24" t="n"/>
    </row>
    <row r="18">
      <c r="A18" s="27" t="n"/>
      <c r="B18" s="28" t="n"/>
      <c r="C18" s="26" t="n"/>
      <c r="D18" s="28" t="n"/>
      <c r="E18" s="27" t="n"/>
    </row>
    <row r="19">
      <c r="A19" s="24" t="n"/>
      <c r="B19" s="25" t="n"/>
      <c r="C19" s="23" t="n"/>
      <c r="D19" s="25" t="n"/>
      <c r="E19" s="24" t="n"/>
    </row>
    <row r="20">
      <c r="A20" s="27" t="n"/>
      <c r="B20" s="28" t="n"/>
      <c r="C20" s="26" t="n"/>
      <c r="D20" s="28" t="n"/>
      <c r="E20" s="27" t="n"/>
    </row>
    <row r="21">
      <c r="A21" s="24" t="n"/>
      <c r="B21" s="25" t="n"/>
      <c r="C21" s="23" t="n"/>
      <c r="D21" s="25" t="n"/>
      <c r="E21" s="24" t="n"/>
    </row>
    <row r="22">
      <c r="A22" s="27" t="n"/>
      <c r="B22" s="28" t="n"/>
      <c r="C22" s="26" t="n"/>
      <c r="D22" s="28" t="n"/>
      <c r="E22" s="27" t="n"/>
    </row>
    <row r="23">
      <c r="A23" s="24" t="n"/>
      <c r="B23" s="25" t="n"/>
      <c r="C23" s="23" t="n"/>
      <c r="D23" s="25" t="n"/>
      <c r="E23" s="24" t="n"/>
    </row>
    <row r="24">
      <c r="A24" s="27" t="n"/>
      <c r="B24" s="28" t="n"/>
      <c r="C24" s="26" t="n"/>
      <c r="D24" s="28" t="n"/>
      <c r="E24" s="27" t="n"/>
    </row>
    <row r="25">
      <c r="A25" s="24" t="n"/>
      <c r="B25" s="25" t="n"/>
      <c r="C25" s="23" t="n"/>
      <c r="D25" s="25" t="n"/>
      <c r="E25" s="24" t="n"/>
    </row>
    <row r="26">
      <c r="A26" s="27" t="n"/>
      <c r="B26" s="28" t="n"/>
      <c r="C26" s="26" t="n"/>
      <c r="D26" s="28" t="n"/>
      <c r="E26" s="27" t="n"/>
    </row>
    <row r="27">
      <c r="A27" s="24" t="n"/>
      <c r="B27" s="25" t="n"/>
      <c r="C27" s="23" t="n"/>
      <c r="D27" s="25" t="n"/>
      <c r="E27" s="24" t="n"/>
    </row>
    <row r="28">
      <c r="A28" s="27" t="n"/>
      <c r="B28" s="28" t="n"/>
      <c r="C28" s="26" t="n"/>
      <c r="D28" s="28" t="n"/>
      <c r="E28" s="27" t="n"/>
    </row>
    <row r="29">
      <c r="A29" s="24" t="n"/>
      <c r="B29" s="25" t="n"/>
      <c r="C29" s="23" t="n"/>
      <c r="D29" s="25" t="n"/>
      <c r="E29" s="24" t="n"/>
    </row>
    <row r="30">
      <c r="A30" s="27" t="n"/>
      <c r="B30" s="28" t="n"/>
      <c r="C30" s="26" t="n"/>
      <c r="D30" s="28" t="n"/>
      <c r="E30" s="27" t="n"/>
    </row>
    <row r="31">
      <c r="A31" s="24" t="n"/>
      <c r="B31" s="25" t="n"/>
      <c r="C31" s="23" t="n"/>
      <c r="D31" s="25" t="n"/>
      <c r="E31" s="24" t="n"/>
    </row>
    <row r="32">
      <c r="A32" s="27" t="n"/>
      <c r="B32" s="28" t="n"/>
      <c r="C32" s="26" t="n"/>
      <c r="D32" s="28" t="n"/>
      <c r="E32" s="27" t="n"/>
    </row>
    <row r="33">
      <c r="A33" s="24" t="n"/>
      <c r="B33" s="25" t="n"/>
      <c r="C33" s="23" t="n"/>
      <c r="D33" s="25" t="n"/>
      <c r="E33" s="24" t="n"/>
    </row>
    <row r="34">
      <c r="A34" s="27" t="n"/>
      <c r="B34" s="28" t="n"/>
      <c r="C34" s="26" t="n"/>
      <c r="D34" s="28" t="n"/>
      <c r="E34" s="27" t="n"/>
    </row>
  </sheetData>
  <mergeCells count="2">
    <mergeCell ref="A2:E2"/>
    <mergeCell ref="A1:E1"/>
  </mergeCells>
  <conditionalFormatting sqref="E5:E34">
    <cfRule type="cellIs" priority="1" operator="equal" dxfId="0">
      <formula>"Complete"</formula>
    </cfRule>
    <cfRule type="cellIs" priority="2" operator="equal" dxfId="2">
      <formula>"On track"</formula>
    </cfRule>
    <cfRule type="cellIs" priority="3" operator="equal" dxfId="1">
      <formula>"Pending"</formula>
    </cfRule>
    <cfRule type="cellIs" priority="4" operator="equal" dxfId="4">
      <formula>"Upcoming"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6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🎯  GOALS &amp; OKRs</t>
        </is>
      </c>
    </row>
    <row r="2" ht="22" customHeight="1">
      <c r="A2" s="2" t="inlineStr">
        <is>
          <t xml:space="preserve">  Run your business on objectives — measurable key results with live progress.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Objective / Key Result</t>
        </is>
      </c>
      <c r="B4" s="7" t="inlineStr">
        <is>
          <t>Category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Progress</t>
        </is>
      </c>
    </row>
    <row r="5">
      <c r="A5" s="35" t="inlineStr">
        <is>
          <t>Hit $10k/mo revenue</t>
        </is>
      </c>
      <c r="B5" s="36" t="inlineStr">
        <is>
          <t>Revenue</t>
        </is>
      </c>
      <c r="C5" s="36" t="inlineStr">
        <is>
          <t>$10,000</t>
        </is>
      </c>
      <c r="D5" s="36" t="inlineStr">
        <is>
          <t>$8,160</t>
        </is>
      </c>
      <c r="E5" s="48" t="n">
        <v>0.82</v>
      </c>
    </row>
    <row r="6">
      <c r="A6" s="28" t="inlineStr">
        <is>
          <t>Publish 16 pieces / month</t>
        </is>
      </c>
      <c r="B6" s="27" t="inlineStr">
        <is>
          <t>Content</t>
        </is>
      </c>
      <c r="C6" s="27" t="inlineStr">
        <is>
          <t>16</t>
        </is>
      </c>
      <c r="D6" s="27" t="inlineStr">
        <is>
          <t>12</t>
        </is>
      </c>
      <c r="E6" s="49" t="n">
        <v>0.75</v>
      </c>
    </row>
    <row r="7">
      <c r="A7" s="35" t="inlineStr">
        <is>
          <t>Grow to 100k followers</t>
        </is>
      </c>
      <c r="B7" s="36" t="inlineStr">
        <is>
          <t>Audience</t>
        </is>
      </c>
      <c r="C7" s="36" t="inlineStr">
        <is>
          <t>100,000</t>
        </is>
      </c>
      <c r="D7" s="36" t="inlineStr">
        <is>
          <t>72,400</t>
        </is>
      </c>
      <c r="E7" s="48" t="n">
        <v>0.72</v>
      </c>
    </row>
    <row r="8">
      <c r="A8" s="28" t="inlineStr">
        <is>
          <t>Launch Content OS course</t>
        </is>
      </c>
      <c r="B8" s="27" t="inlineStr">
        <is>
          <t>Business</t>
        </is>
      </c>
      <c r="C8" s="27" t="inlineStr">
        <is>
          <t>Ship it</t>
        </is>
      </c>
      <c r="D8" s="27" t="inlineStr">
        <is>
          <t>80% built</t>
        </is>
      </c>
      <c r="E8" s="49" t="n">
        <v>0.8</v>
      </c>
    </row>
    <row r="9">
      <c r="A9" s="35" t="inlineStr">
        <is>
          <t>Land 6 active brand deals</t>
        </is>
      </c>
      <c r="B9" s="36" t="inlineStr">
        <is>
          <t>Platform</t>
        </is>
      </c>
      <c r="C9" s="36" t="inlineStr">
        <is>
          <t>6</t>
        </is>
      </c>
      <c r="D9" s="36" t="inlineStr">
        <is>
          <t>4</t>
        </is>
      </c>
      <c r="E9" s="48" t="n">
        <v>0.67</v>
      </c>
    </row>
    <row r="10">
      <c r="A10" s="28" t="inlineStr">
        <is>
          <t>Read 1 business book / mo</t>
        </is>
      </c>
      <c r="B10" s="27" t="inlineStr">
        <is>
          <t>Personal</t>
        </is>
      </c>
      <c r="C10" s="27" t="inlineStr">
        <is>
          <t>12</t>
        </is>
      </c>
      <c r="D10" s="27" t="inlineStr">
        <is>
          <t>7</t>
        </is>
      </c>
      <c r="E10" s="49" t="n">
        <v>0.58</v>
      </c>
    </row>
    <row r="13" ht="22" customHeight="1">
      <c r="B13" s="4" t="inlineStr">
        <is>
          <t>THIS QUARTER'S FOCUS</t>
        </is>
      </c>
    </row>
    <row r="14">
      <c r="B14" s="50" t="inlineStr">
        <is>
          <t>◆</t>
        </is>
      </c>
      <c r="C14" s="35" t="inlineStr">
        <is>
          <t>Ship the Content OS course (biggest revenue lever)</t>
        </is>
      </c>
    </row>
    <row r="15">
      <c r="B15" s="50" t="inlineStr">
        <is>
          <t>◆</t>
        </is>
      </c>
      <c r="C15" s="35" t="inlineStr">
        <is>
          <t>Systematize sponsorship outreach → 6 active deals</t>
        </is>
      </c>
    </row>
    <row r="16">
      <c r="B16" s="50" t="inlineStr">
        <is>
          <t>◆</t>
        </is>
      </c>
      <c r="C16" s="35" t="inlineStr">
        <is>
          <t>Double down on YouTube (best growth + ad revenue)</t>
        </is>
      </c>
    </row>
    <row r="17">
      <c r="B17" s="50" t="inlineStr">
        <is>
          <t>◆</t>
        </is>
      </c>
      <c r="C17" s="35" t="inlineStr">
        <is>
          <t>Build the email list to 10k (owned audience)</t>
        </is>
      </c>
    </row>
  </sheetData>
  <mergeCells count="7">
    <mergeCell ref="C16:E16"/>
    <mergeCell ref="A2:F2"/>
    <mergeCell ref="C14:E14"/>
    <mergeCell ref="B13:E13"/>
    <mergeCell ref="A1:F1"/>
    <mergeCell ref="C17:E17"/>
    <mergeCell ref="C15:E15"/>
  </mergeCells>
  <conditionalFormatting sqref="E5:E10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0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2" customWidth="1" min="4" max="4"/>
    <col width="24" customWidth="1" min="5" max="5"/>
  </cols>
  <sheetData>
    <row r="1" ht="46" customHeight="1">
      <c r="A1" s="1" t="inlineStr">
        <is>
          <t xml:space="preserve">  🗂  ASSET LIBRARY INDEX</t>
        </is>
      </c>
    </row>
    <row r="2" ht="22" customHeight="1">
      <c r="A2" s="2" t="inlineStr">
        <is>
          <t xml:space="preserve">  Find any file in seconds — a searchable index of every brand asset &amp; where it lives.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Asset</t>
        </is>
      </c>
      <c r="B4" s="7" t="inlineStr">
        <is>
          <t>Type</t>
        </is>
      </c>
      <c r="C4" s="7" t="inlineStr">
        <is>
          <t>Storage Location</t>
        </is>
      </c>
      <c r="D4" s="7" t="inlineStr">
        <is>
          <t>Backed Up</t>
        </is>
      </c>
      <c r="E4" s="7" t="inlineStr">
        <is>
          <t>Notes</t>
        </is>
      </c>
    </row>
    <row r="5">
      <c r="A5" s="25" t="inlineStr">
        <is>
          <t>Logo — primary (SVG)</t>
        </is>
      </c>
      <c r="B5" s="24" t="inlineStr">
        <is>
          <t>Logo</t>
        </is>
      </c>
      <c r="C5" s="25" t="inlineStr">
        <is>
          <t>Brand/Logos</t>
        </is>
      </c>
      <c r="D5" s="24" t="inlineStr">
        <is>
          <t>Yes</t>
        </is>
      </c>
      <c r="E5" s="25" t="inlineStr">
        <is>
          <t>Master vector</t>
        </is>
      </c>
    </row>
    <row r="6">
      <c r="A6" s="28" t="inlineStr">
        <is>
          <t>Logo — white / mono</t>
        </is>
      </c>
      <c r="B6" s="27" t="inlineStr">
        <is>
          <t>Logo</t>
        </is>
      </c>
      <c r="C6" s="28" t="inlineStr">
        <is>
          <t>Brand/Logos</t>
        </is>
      </c>
      <c r="D6" s="27" t="inlineStr">
        <is>
          <t>Yes</t>
        </is>
      </c>
      <c r="E6" s="28" t="inlineStr">
        <is>
          <t>For dark bg</t>
        </is>
      </c>
    </row>
    <row r="7">
      <c r="A7" s="25" t="inlineStr">
        <is>
          <t>Channel banner set</t>
        </is>
      </c>
      <c r="B7" s="24" t="inlineStr">
        <is>
          <t>Graphic</t>
        </is>
      </c>
      <c r="C7" s="25" t="inlineStr">
        <is>
          <t>Brand/Banners</t>
        </is>
      </c>
      <c r="D7" s="24" t="inlineStr">
        <is>
          <t>Yes</t>
        </is>
      </c>
      <c r="E7" s="25" t="inlineStr">
        <is>
          <t>All platforms</t>
        </is>
      </c>
    </row>
    <row r="8">
      <c r="A8" s="28" t="inlineStr">
        <is>
          <t>B-roll — studio</t>
        </is>
      </c>
      <c r="B8" s="27" t="inlineStr">
        <is>
          <t>Video</t>
        </is>
      </c>
      <c r="C8" s="28" t="inlineStr">
        <is>
          <t>Drive/B-roll/Studio</t>
        </is>
      </c>
      <c r="D8" s="27" t="inlineStr">
        <is>
          <t>Yes</t>
        </is>
      </c>
      <c r="E8" s="28" t="inlineStr">
        <is>
          <t>4K, 40 clips</t>
        </is>
      </c>
    </row>
    <row r="9">
      <c r="A9" s="25" t="inlineStr">
        <is>
          <t>B-roll — city</t>
        </is>
      </c>
      <c r="B9" s="24" t="inlineStr">
        <is>
          <t>Video</t>
        </is>
      </c>
      <c r="C9" s="25" t="inlineStr">
        <is>
          <t>Drive/B-roll/City</t>
        </is>
      </c>
      <c r="D9" s="24" t="inlineStr">
        <is>
          <t>Yes</t>
        </is>
      </c>
      <c r="E9" s="25" t="inlineStr">
        <is>
          <t>Establishing shots</t>
        </is>
      </c>
    </row>
    <row r="10">
      <c r="A10" s="28" t="inlineStr">
        <is>
          <t>Music license — Epidemic</t>
        </is>
      </c>
      <c r="B10" s="27" t="inlineStr">
        <is>
          <t>Music</t>
        </is>
      </c>
      <c r="C10" s="28" t="inlineStr">
        <is>
          <t>Licenses/Epidemic</t>
        </is>
      </c>
      <c r="D10" s="27" t="inlineStr">
        <is>
          <t>Yes</t>
        </is>
      </c>
      <c r="E10" s="28" t="inlineStr">
        <is>
          <t>Active subscription</t>
        </is>
      </c>
    </row>
    <row r="11">
      <c r="A11" s="25" t="inlineStr">
        <is>
          <t>Thumbnail template (PSD)</t>
        </is>
      </c>
      <c r="B11" s="24" t="inlineStr">
        <is>
          <t>Template</t>
        </is>
      </c>
      <c r="C11" s="25" t="inlineStr">
        <is>
          <t>Templates/Thumbnails</t>
        </is>
      </c>
      <c r="D11" s="24" t="inlineStr">
        <is>
          <t>Yes</t>
        </is>
      </c>
      <c r="E11" s="25" t="inlineStr">
        <is>
          <t>3 layouts</t>
        </is>
      </c>
    </row>
    <row r="12">
      <c r="A12" s="28" t="inlineStr">
        <is>
          <t>Media kit (PDF)</t>
        </is>
      </c>
      <c r="B12" s="27" t="inlineStr">
        <is>
          <t>Document</t>
        </is>
      </c>
      <c r="C12" s="28" t="inlineStr">
        <is>
          <t>Brand/Media Kit</t>
        </is>
      </c>
      <c r="D12" s="27" t="inlineStr">
        <is>
          <t>Yes</t>
        </is>
      </c>
      <c r="E12" s="28" t="inlineStr">
        <is>
          <t>Updated Q3</t>
        </is>
      </c>
    </row>
    <row r="13">
      <c r="A13" s="25" t="inlineStr">
        <is>
          <t>Sponsor contract template</t>
        </is>
      </c>
      <c r="B13" s="24" t="inlineStr">
        <is>
          <t>Contract</t>
        </is>
      </c>
      <c r="C13" s="25" t="inlineStr">
        <is>
          <t>Legal/Contracts</t>
        </is>
      </c>
      <c r="D13" s="24" t="inlineStr">
        <is>
          <t>Yes</t>
        </is>
      </c>
      <c r="E13" s="25" t="inlineStr">
        <is>
          <t>Lawyer-reviewed</t>
        </is>
      </c>
    </row>
    <row r="14">
      <c r="A14" s="28" t="inlineStr">
        <is>
          <t>Intro / outro stingers</t>
        </is>
      </c>
      <c r="B14" s="27" t="inlineStr">
        <is>
          <t>Video</t>
        </is>
      </c>
      <c r="C14" s="28" t="inlineStr">
        <is>
          <t>Drive/Motion</t>
        </is>
      </c>
      <c r="D14" s="27" t="inlineStr">
        <is>
          <t>Yes</t>
        </is>
      </c>
      <c r="E14" s="28" t="inlineStr">
        <is>
          <t>5s each</t>
        </is>
      </c>
    </row>
    <row r="15">
      <c r="A15" s="25" t="n"/>
      <c r="B15" s="24" t="n"/>
      <c r="C15" s="25" t="n"/>
      <c r="D15" s="24" t="n"/>
      <c r="E15" s="25" t="n"/>
    </row>
    <row r="16">
      <c r="A16" s="28" t="n"/>
      <c r="B16" s="27" t="n"/>
      <c r="C16" s="28" t="n"/>
      <c r="D16" s="27" t="n"/>
      <c r="E16" s="28" t="n"/>
    </row>
    <row r="17">
      <c r="A17" s="25" t="n"/>
      <c r="B17" s="24" t="n"/>
      <c r="C17" s="25" t="n"/>
      <c r="D17" s="24" t="n"/>
      <c r="E17" s="25" t="n"/>
    </row>
    <row r="18">
      <c r="A18" s="28" t="n"/>
      <c r="B18" s="27" t="n"/>
      <c r="C18" s="28" t="n"/>
      <c r="D18" s="27" t="n"/>
      <c r="E18" s="28" t="n"/>
    </row>
    <row r="19">
      <c r="A19" s="25" t="n"/>
      <c r="B19" s="24" t="n"/>
      <c r="C19" s="25" t="n"/>
      <c r="D19" s="24" t="n"/>
      <c r="E19" s="25" t="n"/>
    </row>
    <row r="20">
      <c r="A20" s="28" t="n"/>
      <c r="B20" s="27" t="n"/>
      <c r="C20" s="28" t="n"/>
      <c r="D20" s="27" t="n"/>
      <c r="E20" s="28" t="n"/>
    </row>
    <row r="21">
      <c r="A21" s="25" t="n"/>
      <c r="B21" s="24" t="n"/>
      <c r="C21" s="25" t="n"/>
      <c r="D21" s="24" t="n"/>
      <c r="E21" s="25" t="n"/>
    </row>
    <row r="22">
      <c r="A22" s="28" t="n"/>
      <c r="B22" s="27" t="n"/>
      <c r="C22" s="28" t="n"/>
      <c r="D22" s="27" t="n"/>
      <c r="E22" s="28" t="n"/>
    </row>
    <row r="23">
      <c r="A23" s="25" t="n"/>
      <c r="B23" s="24" t="n"/>
      <c r="C23" s="25" t="n"/>
      <c r="D23" s="24" t="n"/>
      <c r="E23" s="25" t="n"/>
    </row>
    <row r="24">
      <c r="A24" s="28" t="n"/>
      <c r="B24" s="27" t="n"/>
      <c r="C24" s="28" t="n"/>
      <c r="D24" s="27" t="n"/>
      <c r="E24" s="28" t="n"/>
    </row>
    <row r="25">
      <c r="A25" s="25" t="n"/>
      <c r="B25" s="24" t="n"/>
      <c r="C25" s="25" t="n"/>
      <c r="D25" s="24" t="n"/>
      <c r="E25" s="25" t="n"/>
    </row>
    <row r="26">
      <c r="A26" s="28" t="n"/>
      <c r="B26" s="27" t="n"/>
      <c r="C26" s="28" t="n"/>
      <c r="D26" s="27" t="n"/>
      <c r="E26" s="28" t="n"/>
    </row>
    <row r="27">
      <c r="A27" s="25" t="n"/>
      <c r="B27" s="24" t="n"/>
      <c r="C27" s="25" t="n"/>
      <c r="D27" s="24" t="n"/>
      <c r="E27" s="25" t="n"/>
    </row>
    <row r="28">
      <c r="A28" s="28" t="n"/>
      <c r="B28" s="27" t="n"/>
      <c r="C28" s="28" t="n"/>
      <c r="D28" s="27" t="n"/>
      <c r="E28" s="28" t="n"/>
    </row>
    <row r="29">
      <c r="A29" s="25" t="n"/>
      <c r="B29" s="24" t="n"/>
      <c r="C29" s="25" t="n"/>
      <c r="D29" s="24" t="n"/>
      <c r="E29" s="25" t="n"/>
    </row>
    <row r="30">
      <c r="A30" s="28" t="n"/>
      <c r="B30" s="27" t="n"/>
      <c r="C30" s="28" t="n"/>
      <c r="D30" s="27" t="n"/>
      <c r="E30" s="28" t="n"/>
    </row>
    <row r="31">
      <c r="A31" s="25" t="n"/>
      <c r="B31" s="24" t="n"/>
      <c r="C31" s="25" t="n"/>
      <c r="D31" s="24" t="n"/>
      <c r="E31" s="25" t="n"/>
    </row>
    <row r="32">
      <c r="A32" s="28" t="n"/>
      <c r="B32" s="27" t="n"/>
      <c r="C32" s="28" t="n"/>
      <c r="D32" s="27" t="n"/>
      <c r="E32" s="28" t="n"/>
    </row>
    <row r="33">
      <c r="A33" s="25" t="n"/>
      <c r="B33" s="24" t="n"/>
      <c r="C33" s="25" t="n"/>
      <c r="D33" s="24" t="n"/>
      <c r="E33" s="25" t="n"/>
    </row>
    <row r="34">
      <c r="A34" s="28" t="n"/>
      <c r="B34" s="27" t="n"/>
      <c r="C34" s="28" t="n"/>
      <c r="D34" s="27" t="n"/>
      <c r="E34" s="28" t="n"/>
    </row>
    <row r="35">
      <c r="A35" s="25" t="n"/>
      <c r="B35" s="24" t="n"/>
      <c r="C35" s="25" t="n"/>
      <c r="D35" s="24" t="n"/>
      <c r="E35" s="25" t="n"/>
    </row>
    <row r="36">
      <c r="A36" s="28" t="n"/>
      <c r="B36" s="27" t="n"/>
      <c r="C36" s="28" t="n"/>
      <c r="D36" s="27" t="n"/>
      <c r="E36" s="28" t="n"/>
    </row>
    <row r="37">
      <c r="A37" s="25" t="n"/>
      <c r="B37" s="24" t="n"/>
      <c r="C37" s="25" t="n"/>
      <c r="D37" s="24" t="n"/>
      <c r="E37" s="25" t="n"/>
    </row>
    <row r="38">
      <c r="A38" s="28" t="n"/>
      <c r="B38" s="27" t="n"/>
      <c r="C38" s="28" t="n"/>
      <c r="D38" s="27" t="n"/>
      <c r="E38" s="28" t="n"/>
    </row>
    <row r="39">
      <c r="A39" s="25" t="n"/>
      <c r="B39" s="24" t="n"/>
      <c r="C39" s="25" t="n"/>
      <c r="D39" s="24" t="n"/>
      <c r="E39" s="25" t="n"/>
    </row>
    <row r="40">
      <c r="A40" s="28" t="n"/>
      <c r="B40" s="27" t="n"/>
      <c r="C40" s="28" t="n"/>
      <c r="D40" s="27" t="n"/>
      <c r="E40" s="28" t="n"/>
    </row>
    <row r="41">
      <c r="A41" s="25" t="n"/>
      <c r="B41" s="24" t="n"/>
      <c r="C41" s="25" t="n"/>
      <c r="D41" s="24" t="n"/>
      <c r="E41" s="25" t="n"/>
    </row>
    <row r="42">
      <c r="A42" s="28" t="n"/>
      <c r="B42" s="27" t="n"/>
      <c r="C42" s="28" t="n"/>
      <c r="D42" s="27" t="n"/>
      <c r="E42" s="28" t="n"/>
    </row>
    <row r="43">
      <c r="A43" s="25" t="n"/>
      <c r="B43" s="24" t="n"/>
      <c r="C43" s="25" t="n"/>
      <c r="D43" s="24" t="n"/>
      <c r="E43" s="25" t="n"/>
    </row>
    <row r="44">
      <c r="A44" s="28" t="n"/>
      <c r="B44" s="27" t="n"/>
      <c r="C44" s="28" t="n"/>
      <c r="D44" s="27" t="n"/>
      <c r="E44" s="28" t="n"/>
    </row>
  </sheetData>
  <mergeCells count="2">
    <mergeCell ref="A2:E2"/>
    <mergeCell ref="A1:E1"/>
  </mergeCells>
  <conditionalFormatting sqref="D5:D44">
    <cfRule type="cellIs" priority="1" operator="equal" dxfId="6">
      <formula>"No"</formula>
    </cfRule>
  </conditionalFormatting>
  <dataValidations count="1"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E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2" customWidth="1" min="4" max="4"/>
    <col width="15" customWidth="1" min="5" max="5"/>
  </cols>
  <sheetData>
    <row r="1" ht="46" customHeight="1">
      <c r="A1" s="1" t="inlineStr">
        <is>
          <t xml:space="preserve">  🔐  PASSWORD &amp; ACCOUNT INDEX</t>
        </is>
      </c>
    </row>
    <row r="2" ht="22" customHeight="1">
      <c r="A2" s="2" t="inlineStr">
        <is>
          <t xml:space="preserve">  Every account, secured — never store real passwords here; use your password manager.</t>
        </is>
      </c>
    </row>
    <row r="3" ht="6" customHeight="1">
      <c r="A3" s="3" t="n"/>
      <c r="B3" s="3" t="n"/>
      <c r="C3" s="3" t="n"/>
      <c r="D3" s="3" t="n"/>
      <c r="E3" s="3" t="n"/>
    </row>
    <row r="5" ht="24" customHeight="1">
      <c r="A5" s="51" t="inlineStr">
        <is>
          <t xml:space="preserve">  ⚠  SECURITY: store passwords in a manager (1Password, Bitwarden). This is an index only.</t>
        </is>
      </c>
      <c r="B5" s="52" t="n"/>
      <c r="C5" s="52" t="n"/>
      <c r="D5" s="52" t="n"/>
      <c r="E5" s="52" t="n"/>
    </row>
    <row r="6" ht="30" customHeight="1">
      <c r="A6" s="7" t="inlineStr">
        <is>
          <t>Platform</t>
        </is>
      </c>
      <c r="B6" s="7" t="inlineStr">
        <is>
          <t>Username</t>
        </is>
      </c>
      <c r="C6" s="7" t="inlineStr">
        <is>
          <t>Recovery Email</t>
        </is>
      </c>
      <c r="D6" s="7" t="inlineStr">
        <is>
          <t>MFA On?</t>
        </is>
      </c>
      <c r="E6" s="7" t="inlineStr">
        <is>
          <t>Backup Codes</t>
        </is>
      </c>
    </row>
    <row r="7">
      <c r="A7" s="25" t="inlineStr">
        <is>
          <t>YouTube</t>
        </is>
      </c>
      <c r="B7" s="25" t="inlineStr">
        <is>
          <t>@novacreative</t>
        </is>
      </c>
      <c r="C7" s="25" t="inlineStr">
        <is>
          <t>ava@novacreative.co</t>
        </is>
      </c>
      <c r="D7" s="24" t="inlineStr">
        <is>
          <t>Yes</t>
        </is>
      </c>
      <c r="E7" s="24" t="inlineStr">
        <is>
          <t>Yes</t>
        </is>
      </c>
    </row>
    <row r="8">
      <c r="A8" s="28" t="inlineStr">
        <is>
          <t>TikTok</t>
        </is>
      </c>
      <c r="B8" s="28" t="inlineStr">
        <is>
          <t>@novacreative</t>
        </is>
      </c>
      <c r="C8" s="28" t="inlineStr">
        <is>
          <t>ava@novacreative.co</t>
        </is>
      </c>
      <c r="D8" s="27" t="inlineStr">
        <is>
          <t>Yes</t>
        </is>
      </c>
      <c r="E8" s="27" t="inlineStr">
        <is>
          <t>Yes</t>
        </is>
      </c>
    </row>
    <row r="9">
      <c r="A9" s="25" t="inlineStr">
        <is>
          <t>Instagram</t>
        </is>
      </c>
      <c r="B9" s="25" t="inlineStr">
        <is>
          <t>@nova.creative</t>
        </is>
      </c>
      <c r="C9" s="25" t="inlineStr">
        <is>
          <t>ava@novacreative.co</t>
        </is>
      </c>
      <c r="D9" s="24" t="inlineStr">
        <is>
          <t>Yes</t>
        </is>
      </c>
      <c r="E9" s="24" t="inlineStr">
        <is>
          <t>Yes</t>
        </is>
      </c>
    </row>
    <row r="10">
      <c r="A10" s="28" t="inlineStr">
        <is>
          <t>X</t>
        </is>
      </c>
      <c r="B10" s="28" t="inlineStr">
        <is>
          <t>@novacreative</t>
        </is>
      </c>
      <c r="C10" s="28" t="inlineStr">
        <is>
          <t>ava@novacreative.co</t>
        </is>
      </c>
      <c r="D10" s="27" t="inlineStr">
        <is>
          <t>Yes</t>
        </is>
      </c>
      <c r="E10" s="27" t="inlineStr">
        <is>
          <t>No</t>
        </is>
      </c>
    </row>
    <row r="11">
      <c r="A11" s="25" t="inlineStr">
        <is>
          <t>ConvertKit</t>
        </is>
      </c>
      <c r="B11" s="25" t="inlineStr">
        <is>
          <t>ava@novacreative.co</t>
        </is>
      </c>
      <c r="C11" s="25" t="inlineStr">
        <is>
          <t>backup@novacreative.co</t>
        </is>
      </c>
      <c r="D11" s="24" t="inlineStr">
        <is>
          <t>Yes</t>
        </is>
      </c>
      <c r="E11" s="24" t="inlineStr">
        <is>
          <t>Yes</t>
        </is>
      </c>
    </row>
    <row r="12">
      <c r="A12" s="28" t="inlineStr">
        <is>
          <t>Stripe</t>
        </is>
      </c>
      <c r="B12" s="28" t="inlineStr">
        <is>
          <t>ava@novacreative.co</t>
        </is>
      </c>
      <c r="C12" s="28" t="inlineStr">
        <is>
          <t>backup@novacreative.co</t>
        </is>
      </c>
      <c r="D12" s="27" t="inlineStr">
        <is>
          <t>Yes</t>
        </is>
      </c>
      <c r="E12" s="27" t="inlineStr">
        <is>
          <t>Yes</t>
        </is>
      </c>
    </row>
    <row r="13">
      <c r="A13" s="25" t="inlineStr">
        <is>
          <t>Gumroad</t>
        </is>
      </c>
      <c r="B13" s="25" t="inlineStr">
        <is>
          <t>ava@novacreative.co</t>
        </is>
      </c>
      <c r="C13" s="25" t="inlineStr">
        <is>
          <t>backup@novacreative.co</t>
        </is>
      </c>
      <c r="D13" s="24" t="inlineStr">
        <is>
          <t>No</t>
        </is>
      </c>
      <c r="E13" s="24" t="inlineStr">
        <is>
          <t>No</t>
        </is>
      </c>
    </row>
    <row r="14">
      <c r="A14" s="28" t="inlineStr">
        <is>
          <t>Notion</t>
        </is>
      </c>
      <c r="B14" s="28" t="inlineStr">
        <is>
          <t>ava@novacreative.co</t>
        </is>
      </c>
      <c r="C14" s="28" t="inlineStr">
        <is>
          <t>backup@novacreative.co</t>
        </is>
      </c>
      <c r="D14" s="27" t="inlineStr">
        <is>
          <t>Yes</t>
        </is>
      </c>
      <c r="E14" s="27" t="inlineStr">
        <is>
          <t>Yes</t>
        </is>
      </c>
    </row>
    <row r="15">
      <c r="A15" s="25" t="n"/>
      <c r="B15" s="25" t="n"/>
      <c r="C15" s="25" t="n"/>
      <c r="D15" s="24" t="n"/>
      <c r="E15" s="24" t="n"/>
    </row>
    <row r="16">
      <c r="A16" s="28" t="n"/>
      <c r="B16" s="28" t="n"/>
      <c r="C16" s="28" t="n"/>
      <c r="D16" s="27" t="n"/>
      <c r="E16" s="27" t="n"/>
    </row>
    <row r="17">
      <c r="A17" s="25" t="n"/>
      <c r="B17" s="25" t="n"/>
      <c r="C17" s="25" t="n"/>
      <c r="D17" s="24" t="n"/>
      <c r="E17" s="24" t="n"/>
    </row>
    <row r="18">
      <c r="A18" s="28" t="n"/>
      <c r="B18" s="28" t="n"/>
      <c r="C18" s="28" t="n"/>
      <c r="D18" s="27" t="n"/>
      <c r="E18" s="27" t="n"/>
    </row>
    <row r="19">
      <c r="A19" s="25" t="n"/>
      <c r="B19" s="25" t="n"/>
      <c r="C19" s="25" t="n"/>
      <c r="D19" s="24" t="n"/>
      <c r="E19" s="24" t="n"/>
    </row>
    <row r="20">
      <c r="A20" s="28" t="n"/>
      <c r="B20" s="28" t="n"/>
      <c r="C20" s="28" t="n"/>
      <c r="D20" s="27" t="n"/>
      <c r="E20" s="27" t="n"/>
    </row>
    <row r="21">
      <c r="A21" s="25" t="n"/>
      <c r="B21" s="25" t="n"/>
      <c r="C21" s="25" t="n"/>
      <c r="D21" s="24" t="n"/>
      <c r="E21" s="24" t="n"/>
    </row>
    <row r="22">
      <c r="A22" s="28" t="n"/>
      <c r="B22" s="28" t="n"/>
      <c r="C22" s="28" t="n"/>
      <c r="D22" s="27" t="n"/>
      <c r="E22" s="27" t="n"/>
    </row>
    <row r="23">
      <c r="A23" s="25" t="n"/>
      <c r="B23" s="25" t="n"/>
      <c r="C23" s="25" t="n"/>
      <c r="D23" s="24" t="n"/>
      <c r="E23" s="24" t="n"/>
    </row>
    <row r="24">
      <c r="A24" s="28" t="n"/>
      <c r="B24" s="28" t="n"/>
      <c r="C24" s="28" t="n"/>
      <c r="D24" s="27" t="n"/>
      <c r="E24" s="27" t="n"/>
    </row>
    <row r="25">
      <c r="A25" s="25" t="n"/>
      <c r="B25" s="25" t="n"/>
      <c r="C25" s="25" t="n"/>
      <c r="D25" s="24" t="n"/>
      <c r="E25" s="24" t="n"/>
    </row>
    <row r="26">
      <c r="A26" s="28" t="n"/>
      <c r="B26" s="28" t="n"/>
      <c r="C26" s="28" t="n"/>
      <c r="D26" s="27" t="n"/>
      <c r="E26" s="27" t="n"/>
    </row>
    <row r="27">
      <c r="A27" s="25" t="n"/>
      <c r="B27" s="25" t="n"/>
      <c r="C27" s="25" t="n"/>
      <c r="D27" s="24" t="n"/>
      <c r="E27" s="24" t="n"/>
    </row>
    <row r="28">
      <c r="A28" s="28" t="n"/>
      <c r="B28" s="28" t="n"/>
      <c r="C28" s="28" t="n"/>
      <c r="D28" s="27" t="n"/>
      <c r="E28" s="27" t="n"/>
    </row>
    <row r="29">
      <c r="A29" s="25" t="n"/>
      <c r="B29" s="25" t="n"/>
      <c r="C29" s="25" t="n"/>
      <c r="D29" s="24" t="n"/>
      <c r="E29" s="24" t="n"/>
    </row>
    <row r="30">
      <c r="A30" s="28" t="n"/>
      <c r="B30" s="28" t="n"/>
      <c r="C30" s="28" t="n"/>
      <c r="D30" s="27" t="n"/>
      <c r="E30" s="27" t="n"/>
    </row>
    <row r="31">
      <c r="A31" s="25" t="n"/>
      <c r="B31" s="25" t="n"/>
      <c r="C31" s="25" t="n"/>
      <c r="D31" s="24" t="n"/>
      <c r="E31" s="24" t="n"/>
    </row>
    <row r="32">
      <c r="A32" s="28" t="n"/>
      <c r="B32" s="28" t="n"/>
      <c r="C32" s="28" t="n"/>
      <c r="D32" s="27" t="n"/>
      <c r="E32" s="27" t="n"/>
    </row>
    <row r="33">
      <c r="A33" s="25" t="n"/>
      <c r="B33" s="25" t="n"/>
      <c r="C33" s="25" t="n"/>
      <c r="D33" s="24" t="n"/>
      <c r="E33" s="24" t="n"/>
    </row>
    <row r="34">
      <c r="A34" s="28" t="n"/>
      <c r="B34" s="28" t="n"/>
      <c r="C34" s="28" t="n"/>
      <c r="D34" s="27" t="n"/>
      <c r="E34" s="27" t="n"/>
    </row>
    <row r="35">
      <c r="A35" s="25" t="n"/>
      <c r="B35" s="25" t="n"/>
      <c r="C35" s="25" t="n"/>
      <c r="D35" s="24" t="n"/>
      <c r="E35" s="24" t="n"/>
    </row>
    <row r="36">
      <c r="A36" s="28" t="n"/>
      <c r="B36" s="28" t="n"/>
      <c r="C36" s="28" t="n"/>
      <c r="D36" s="27" t="n"/>
      <c r="E36" s="27" t="n"/>
    </row>
  </sheetData>
  <mergeCells count="3">
    <mergeCell ref="A2:E2"/>
    <mergeCell ref="A1:E1"/>
    <mergeCell ref="A5:E5"/>
  </mergeCells>
  <conditionalFormatting sqref="D7:D36">
    <cfRule type="cellIs" priority="1" operator="equal" dxfId="6">
      <formula>"No"</formula>
    </cfRule>
    <cfRule type="cellIs" priority="2" operator="equal" dxfId="0">
      <formula>"Yes"</formula>
    </cfRule>
  </conditionalFormatting>
  <dataValidations count="2">
    <dataValidation sqref="D7:D36" showDropDown="0" showInputMessage="0" showErrorMessage="0" allowBlank="1" type="list">
      <formula1>=YesNoList</formula1>
    </dataValidation>
    <dataValidation sqref="E7:E36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4" customWidth="1" min="4" max="4"/>
    <col width="22" customWidth="1" min="5" max="5"/>
    <col width="16" customWidth="1" min="6" max="6"/>
    <col width="16" customWidth="1" min="7" max="7"/>
    <col width="2" customWidth="1" min="8" max="8"/>
  </cols>
  <sheetData>
    <row r="1" ht="46" customHeight="1">
      <c r="A1" s="1" t="inlineStr">
        <is>
          <t xml:space="preserve">  📧  EMAIL LIST DASHBOARD</t>
        </is>
      </c>
    </row>
    <row r="2" ht="22" customHeight="1">
      <c r="A2" s="2" t="inlineStr">
        <is>
          <t xml:space="preserve">  Your owned audience — subscribers, growth &amp; campaign performance.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LIST HEALTH</t>
        </is>
      </c>
      <c r="E5" s="4" t="inlineStr">
        <is>
          <t>RECENT CAMPAIGNS</t>
        </is>
      </c>
    </row>
    <row r="6" ht="30" customHeight="1">
      <c r="B6" s="17" t="inlineStr">
        <is>
          <t>Subscribers</t>
        </is>
      </c>
      <c r="C6" s="53" t="n">
        <v>8420</v>
      </c>
      <c r="E6" s="7" t="inlineStr">
        <is>
          <t>Campaign</t>
        </is>
      </c>
      <c r="F6" s="7" t="inlineStr">
        <is>
          <t>Opens</t>
        </is>
      </c>
      <c r="G6" s="7" t="inlineStr">
        <is>
          <t>Clicks</t>
        </is>
      </c>
    </row>
    <row r="7">
      <c r="B7" s="17" t="inlineStr">
        <is>
          <t>New this month</t>
        </is>
      </c>
      <c r="C7" s="54" t="n">
        <v>640</v>
      </c>
      <c r="E7" s="35" t="inlineStr">
        <is>
          <t>How I plan a month</t>
        </is>
      </c>
      <c r="F7" s="36" t="inlineStr">
        <is>
          <t>46%</t>
        </is>
      </c>
      <c r="G7" s="36" t="inlineStr">
        <is>
          <t>9.2%</t>
        </is>
      </c>
    </row>
    <row r="8">
      <c r="B8" s="17" t="inlineStr">
        <is>
          <t>Growth rate</t>
        </is>
      </c>
      <c r="C8" s="55" t="n">
        <v>0.082</v>
      </c>
      <c r="E8" s="28" t="inlineStr">
        <is>
          <t>Launch week teaser</t>
        </is>
      </c>
      <c r="F8" s="27" t="inlineStr">
        <is>
          <t>51%</t>
        </is>
      </c>
      <c r="G8" s="27" t="inlineStr">
        <is>
          <t>12.4%</t>
        </is>
      </c>
    </row>
    <row r="9">
      <c r="B9" s="17" t="inlineStr">
        <is>
          <t>Avg open rate</t>
        </is>
      </c>
      <c r="C9" s="55" t="n">
        <v>0.446</v>
      </c>
      <c r="E9" s="35" t="inlineStr">
        <is>
          <t>Pricing your products</t>
        </is>
      </c>
      <c r="F9" s="36" t="inlineStr">
        <is>
          <t>43%</t>
        </is>
      </c>
      <c r="G9" s="36" t="inlineStr">
        <is>
          <t>7.8%</t>
        </is>
      </c>
    </row>
    <row r="10">
      <c r="B10" s="17" t="inlineStr">
        <is>
          <t>Avg click rate</t>
        </is>
      </c>
      <c r="C10" s="56" t="n">
        <v>0.089</v>
      </c>
      <c r="E10" s="28" t="inlineStr">
        <is>
          <t>Monthly recap + wins</t>
        </is>
      </c>
      <c r="F10" s="27" t="inlineStr">
        <is>
          <t>44%</t>
        </is>
      </c>
      <c r="G10" s="27" t="inlineStr">
        <is>
          <t>6.1%</t>
        </is>
      </c>
    </row>
    <row r="11">
      <c r="B11" s="17" t="inlineStr">
        <is>
          <t>Unsub rate</t>
        </is>
      </c>
      <c r="C11" s="56" t="n">
        <v>0.006</v>
      </c>
    </row>
    <row r="14" ht="22" customHeight="1">
      <c r="B14" s="4" t="inlineStr">
        <is>
          <t>LEAD MAGNETS</t>
        </is>
      </c>
    </row>
    <row r="15">
      <c r="B15" s="17" t="inlineStr">
        <is>
          <t>Free Content Calendar</t>
        </is>
      </c>
      <c r="C15" s="18" t="inlineStr">
        <is>
          <t>1,240 signups</t>
        </is>
      </c>
    </row>
    <row r="16">
      <c r="B16" s="17" t="inlineStr">
        <is>
          <t>Sponsorship Email Swipe</t>
        </is>
      </c>
      <c r="C16" s="18" t="inlineStr">
        <is>
          <t>890 signups</t>
        </is>
      </c>
    </row>
    <row r="17">
      <c r="B17" s="17" t="inlineStr">
        <is>
          <t>Creator Tax Checklist</t>
        </is>
      </c>
      <c r="C17" s="18" t="inlineStr">
        <is>
          <t>610 signups</t>
        </is>
      </c>
    </row>
  </sheetData>
  <mergeCells count="8">
    <mergeCell ref="C16:D16"/>
    <mergeCell ref="B14:G14"/>
    <mergeCell ref="E5:G5"/>
    <mergeCell ref="B5:C5"/>
    <mergeCell ref="A2:H2"/>
    <mergeCell ref="C15:D15"/>
    <mergeCell ref="A1:H1"/>
    <mergeCell ref="C17:D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3" customWidth="1" min="4" max="4"/>
    <col width="16" customWidth="1" min="5" max="5"/>
    <col width="15" customWidth="1" min="6" max="6"/>
  </cols>
  <sheetData>
    <row r="1" ht="46" customHeight="1">
      <c r="A1" s="1" t="inlineStr">
        <is>
          <t xml:space="preserve">  👥  COLLABORATION MANAGER</t>
        </is>
      </c>
    </row>
    <row r="2" ht="22" customHeight="1">
      <c r="A2" s="2" t="inlineStr">
        <is>
          <t xml:space="preserve">  Partner up without the chaos — projects, deadlines, splits &amp;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Collaborator</t>
        </is>
      </c>
      <c r="B4" s="7" t="inlineStr">
        <is>
          <t>Project</t>
        </is>
      </c>
      <c r="C4" s="7" t="inlineStr">
        <is>
          <t>Platform</t>
        </is>
      </c>
      <c r="D4" s="7" t="inlineStr">
        <is>
          <t>Deadline</t>
        </is>
      </c>
      <c r="E4" s="7" t="inlineStr">
        <is>
          <t>Revenue Split</t>
        </is>
      </c>
      <c r="F4" s="7" t="inlineStr">
        <is>
          <t>Status</t>
        </is>
      </c>
    </row>
    <row r="5">
      <c r="A5" s="25" t="inlineStr">
        <is>
          <t>Leo Marín (@leomakes)</t>
        </is>
      </c>
      <c r="B5" s="25" t="inlineStr">
        <is>
          <t>Podcast swap episode</t>
        </is>
      </c>
      <c r="C5" s="24" t="inlineStr">
        <is>
          <t>Podcast</t>
        </is>
      </c>
      <c r="D5" s="23" t="n">
        <v>46216</v>
      </c>
      <c r="E5" s="25" t="inlineStr">
        <is>
          <t>0.50</t>
        </is>
      </c>
      <c r="F5" s="24" t="inlineStr">
        <is>
          <t>Confirmed</t>
        </is>
      </c>
    </row>
    <row r="6">
      <c r="A6" s="28" t="inlineStr">
        <is>
          <t>Studio Kwan</t>
        </is>
      </c>
      <c r="B6" s="28" t="inlineStr">
        <is>
          <t>Thumbnail redesign</t>
        </is>
      </c>
      <c r="C6" s="27" t="inlineStr">
        <is>
          <t>YouTube</t>
        </is>
      </c>
      <c r="D6" s="26" t="n">
        <v>46203</v>
      </c>
      <c r="E6" s="28" t="inlineStr">
        <is>
          <t>Flat $400</t>
        </is>
      </c>
      <c r="F6" s="27" t="inlineStr">
        <is>
          <t>Delivered</t>
        </is>
      </c>
    </row>
    <row r="7">
      <c r="A7" s="25" t="inlineStr">
        <is>
          <t>Mia (writer)</t>
        </is>
      </c>
      <c r="B7" s="25" t="inlineStr">
        <is>
          <t>Blog SEO series</t>
        </is>
      </c>
      <c r="C7" s="24" t="inlineStr">
        <is>
          <t>Blog</t>
        </is>
      </c>
      <c r="D7" s="23" t="n">
        <v>46218</v>
      </c>
      <c r="E7" s="25" t="inlineStr">
        <is>
          <t>Flat $250/post</t>
        </is>
      </c>
      <c r="F7" s="24" t="inlineStr">
        <is>
          <t>In Progress</t>
        </is>
      </c>
    </row>
    <row r="8">
      <c r="A8" s="28" t="inlineStr">
        <is>
          <t>Jon (editor)</t>
        </is>
      </c>
      <c r="B8" s="28" t="inlineStr">
        <is>
          <t>Shorts editing</t>
        </is>
      </c>
      <c r="C8" s="27" t="inlineStr">
        <is>
          <t>YouTube</t>
        </is>
      </c>
      <c r="D8" s="26" t="n">
        <v>46211</v>
      </c>
      <c r="E8" s="28" t="inlineStr">
        <is>
          <t>Flat $60/short</t>
        </is>
      </c>
      <c r="F8" s="27" t="inlineStr">
        <is>
          <t>In Progress</t>
        </is>
      </c>
    </row>
    <row r="9">
      <c r="A9" s="25" t="inlineStr">
        <is>
          <t>Priya D. (@priyacodes)</t>
        </is>
      </c>
      <c r="B9" s="25" t="inlineStr">
        <is>
          <t>Collab reel</t>
        </is>
      </c>
      <c r="C9" s="24" t="inlineStr">
        <is>
          <t>IG Reels</t>
        </is>
      </c>
      <c r="D9" s="23" t="n">
        <v>46214</v>
      </c>
      <c r="E9" s="25" t="inlineStr">
        <is>
          <t>0.50 split</t>
        </is>
      </c>
      <c r="F9" s="24" t="inlineStr">
        <is>
          <t>Scheduled</t>
        </is>
      </c>
    </row>
    <row r="10">
      <c r="A10" s="28" t="n"/>
      <c r="B10" s="28" t="n"/>
      <c r="C10" s="27" t="n"/>
      <c r="D10" s="26" t="n"/>
      <c r="E10" s="28" t="n"/>
      <c r="F10" s="27" t="n"/>
    </row>
    <row r="11">
      <c r="A11" s="25" t="n"/>
      <c r="B11" s="25" t="n"/>
      <c r="C11" s="24" t="n"/>
      <c r="D11" s="23" t="n"/>
      <c r="E11" s="25" t="n"/>
      <c r="F11" s="24" t="n"/>
    </row>
    <row r="12">
      <c r="A12" s="28" t="n"/>
      <c r="B12" s="28" t="n"/>
      <c r="C12" s="27" t="n"/>
      <c r="D12" s="26" t="n"/>
      <c r="E12" s="28" t="n"/>
      <c r="F12" s="27" t="n"/>
    </row>
    <row r="13">
      <c r="A13" s="25" t="n"/>
      <c r="B13" s="25" t="n"/>
      <c r="C13" s="24" t="n"/>
      <c r="D13" s="23" t="n"/>
      <c r="E13" s="25" t="n"/>
      <c r="F13" s="24" t="n"/>
    </row>
    <row r="14">
      <c r="A14" s="28" t="n"/>
      <c r="B14" s="28" t="n"/>
      <c r="C14" s="27" t="n"/>
      <c r="D14" s="26" t="n"/>
      <c r="E14" s="28" t="n"/>
      <c r="F14" s="27" t="n"/>
    </row>
    <row r="15">
      <c r="A15" s="25" t="n"/>
      <c r="B15" s="25" t="n"/>
      <c r="C15" s="24" t="n"/>
      <c r="D15" s="23" t="n"/>
      <c r="E15" s="25" t="n"/>
      <c r="F15" s="24" t="n"/>
    </row>
    <row r="16">
      <c r="A16" s="28" t="n"/>
      <c r="B16" s="28" t="n"/>
      <c r="C16" s="27" t="n"/>
      <c r="D16" s="26" t="n"/>
      <c r="E16" s="28" t="n"/>
      <c r="F16" s="27" t="n"/>
    </row>
    <row r="17">
      <c r="A17" s="25" t="n"/>
      <c r="B17" s="25" t="n"/>
      <c r="C17" s="24" t="n"/>
      <c r="D17" s="23" t="n"/>
      <c r="E17" s="25" t="n"/>
      <c r="F17" s="24" t="n"/>
    </row>
    <row r="18">
      <c r="A18" s="28" t="n"/>
      <c r="B18" s="28" t="n"/>
      <c r="C18" s="27" t="n"/>
      <c r="D18" s="26" t="n"/>
      <c r="E18" s="28" t="n"/>
      <c r="F18" s="27" t="n"/>
    </row>
    <row r="19">
      <c r="A19" s="25" t="n"/>
      <c r="B19" s="25" t="n"/>
      <c r="C19" s="24" t="n"/>
      <c r="D19" s="23" t="n"/>
      <c r="E19" s="25" t="n"/>
      <c r="F19" s="24" t="n"/>
    </row>
    <row r="20">
      <c r="A20" s="28" t="n"/>
      <c r="B20" s="28" t="n"/>
      <c r="C20" s="27" t="n"/>
      <c r="D20" s="26" t="n"/>
      <c r="E20" s="28" t="n"/>
      <c r="F20" s="27" t="n"/>
    </row>
    <row r="21">
      <c r="A21" s="25" t="n"/>
      <c r="B21" s="25" t="n"/>
      <c r="C21" s="24" t="n"/>
      <c r="D21" s="23" t="n"/>
      <c r="E21" s="25" t="n"/>
      <c r="F21" s="24" t="n"/>
    </row>
    <row r="22">
      <c r="A22" s="28" t="n"/>
      <c r="B22" s="28" t="n"/>
      <c r="C22" s="27" t="n"/>
      <c r="D22" s="26" t="n"/>
      <c r="E22" s="28" t="n"/>
      <c r="F22" s="27" t="n"/>
    </row>
    <row r="23">
      <c r="A23" s="25" t="n"/>
      <c r="B23" s="25" t="n"/>
      <c r="C23" s="24" t="n"/>
      <c r="D23" s="23" t="n"/>
      <c r="E23" s="25" t="n"/>
      <c r="F23" s="24" t="n"/>
    </row>
    <row r="24">
      <c r="A24" s="28" t="n"/>
      <c r="B24" s="28" t="n"/>
      <c r="C24" s="27" t="n"/>
      <c r="D24" s="26" t="n"/>
      <c r="E24" s="28" t="n"/>
      <c r="F24" s="27" t="n"/>
    </row>
    <row r="25">
      <c r="A25" s="25" t="n"/>
      <c r="B25" s="25" t="n"/>
      <c r="C25" s="24" t="n"/>
      <c r="D25" s="23" t="n"/>
      <c r="E25" s="25" t="n"/>
      <c r="F25" s="24" t="n"/>
    </row>
    <row r="26">
      <c r="A26" s="28" t="n"/>
      <c r="B26" s="28" t="n"/>
      <c r="C26" s="27" t="n"/>
      <c r="D26" s="26" t="n"/>
      <c r="E26" s="28" t="n"/>
      <c r="F26" s="27" t="n"/>
    </row>
    <row r="27">
      <c r="A27" s="25" t="n"/>
      <c r="B27" s="25" t="n"/>
      <c r="C27" s="24" t="n"/>
      <c r="D27" s="23" t="n"/>
      <c r="E27" s="25" t="n"/>
      <c r="F27" s="24" t="n"/>
    </row>
    <row r="28">
      <c r="A28" s="28" t="n"/>
      <c r="B28" s="28" t="n"/>
      <c r="C28" s="27" t="n"/>
      <c r="D28" s="26" t="n"/>
      <c r="E28" s="28" t="n"/>
      <c r="F28" s="27" t="n"/>
    </row>
    <row r="29">
      <c r="A29" s="25" t="n"/>
      <c r="B29" s="25" t="n"/>
      <c r="C29" s="24" t="n"/>
      <c r="D29" s="23" t="n"/>
      <c r="E29" s="25" t="n"/>
      <c r="F29" s="24" t="n"/>
    </row>
    <row r="30">
      <c r="A30" s="28" t="n"/>
      <c r="B30" s="28" t="n"/>
      <c r="C30" s="27" t="n"/>
      <c r="D30" s="26" t="n"/>
      <c r="E30" s="28" t="n"/>
      <c r="F30" s="27" t="n"/>
    </row>
    <row r="31">
      <c r="A31" s="25" t="n"/>
      <c r="B31" s="25" t="n"/>
      <c r="C31" s="24" t="n"/>
      <c r="D31" s="23" t="n"/>
      <c r="E31" s="25" t="n"/>
      <c r="F31" s="24" t="n"/>
    </row>
    <row r="32">
      <c r="A32" s="28" t="n"/>
      <c r="B32" s="28" t="n"/>
      <c r="C32" s="27" t="n"/>
      <c r="D32" s="26" t="n"/>
      <c r="E32" s="28" t="n"/>
      <c r="F32" s="27" t="n"/>
    </row>
    <row r="33">
      <c r="A33" s="25" t="n"/>
      <c r="B33" s="25" t="n"/>
      <c r="C33" s="24" t="n"/>
      <c r="D33" s="23" t="n"/>
      <c r="E33" s="25" t="n"/>
      <c r="F33" s="24" t="n"/>
    </row>
    <row r="34">
      <c r="A34" s="28" t="n"/>
      <c r="B34" s="28" t="n"/>
      <c r="C34" s="27" t="n"/>
      <c r="D34" s="26" t="n"/>
      <c r="E34" s="28" t="n"/>
      <c r="F34" s="27" t="n"/>
    </row>
  </sheetData>
  <mergeCells count="2">
    <mergeCell ref="A2:F2"/>
    <mergeCell ref="A1:F1"/>
  </mergeCells>
  <dataValidations count="1">
    <dataValidation sqref="C5:C3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30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🚀  LAUNCH PLANNER</t>
        </is>
      </c>
    </row>
    <row r="2" ht="22" customHeight="1">
      <c r="A2" s="2" t="inlineStr">
        <is>
          <t xml:space="preserve">  Ship products with a plan — timeline, promo &amp; KPIs for Content OS launch.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6" t="inlineStr">
        <is>
          <t>LAUNCH: CONTENT OS — 2-WEEK RUNWAY</t>
        </is>
      </c>
    </row>
    <row r="6" ht="30" customHeight="1">
      <c r="B6" s="7" t="inlineStr">
        <is>
          <t>Phase</t>
        </is>
      </c>
      <c r="C6" s="7" t="inlineStr">
        <is>
          <t>Date</t>
        </is>
      </c>
      <c r="D6" s="7" t="inlineStr">
        <is>
          <t>Action</t>
        </is>
      </c>
      <c r="E6" s="7" t="inlineStr">
        <is>
          <t>Status</t>
        </is>
      </c>
    </row>
    <row r="7">
      <c r="B7" s="35" t="inlineStr">
        <is>
          <t>Pre-launch</t>
        </is>
      </c>
      <c r="C7" s="57" t="n">
        <v>46200</v>
      </c>
      <c r="D7" s="35" t="inlineStr">
        <is>
          <t>Waitlist opens + teaser reel</t>
        </is>
      </c>
      <c r="E7" s="36" t="inlineStr">
        <is>
          <t>Done</t>
        </is>
      </c>
    </row>
    <row r="8">
      <c r="B8" s="28" t="inlineStr">
        <is>
          <t>Pre-launch</t>
        </is>
      </c>
      <c r="C8" s="58" t="n">
        <v>46203</v>
      </c>
      <c r="D8" s="28" t="inlineStr">
        <is>
          <t>Behind-the-build newsletter</t>
        </is>
      </c>
      <c r="E8" s="27" t="inlineStr">
        <is>
          <t>Done</t>
        </is>
      </c>
    </row>
    <row r="9">
      <c r="B9" s="35" t="inlineStr">
        <is>
          <t>Launch day</t>
        </is>
      </c>
      <c r="C9" s="57" t="n">
        <v>46207</v>
      </c>
      <c r="D9" s="35" t="inlineStr">
        <is>
          <t>YouTube video + email #1</t>
        </is>
      </c>
      <c r="E9" s="36" t="inlineStr">
        <is>
          <t>Scheduled</t>
        </is>
      </c>
    </row>
    <row r="10">
      <c r="B10" s="28" t="inlineStr">
        <is>
          <t>Launch week</t>
        </is>
      </c>
      <c r="C10" s="58" t="n">
        <v>46208</v>
      </c>
      <c r="D10" s="28" t="inlineStr">
        <is>
          <t>Launch newsletter + TikTok</t>
        </is>
      </c>
      <c r="E10" s="27" t="inlineStr">
        <is>
          <t>Scheduled</t>
        </is>
      </c>
    </row>
    <row r="11">
      <c r="B11" s="35" t="inlineStr">
        <is>
          <t>Launch week</t>
        </is>
      </c>
      <c r="C11" s="57" t="n">
        <v>46210</v>
      </c>
      <c r="D11" s="35" t="inlineStr">
        <is>
          <t>Template walkthrough reel</t>
        </is>
      </c>
      <c r="E11" s="36" t="inlineStr">
        <is>
          <t>Scheduled</t>
        </is>
      </c>
    </row>
    <row r="12">
      <c r="B12" s="28" t="inlineStr">
        <is>
          <t>Launch week</t>
        </is>
      </c>
      <c r="C12" s="58" t="n">
        <v>46212</v>
      </c>
      <c r="D12" s="28" t="inlineStr">
        <is>
          <t>Sponsor cross-promo</t>
        </is>
      </c>
      <c r="E12" s="27" t="inlineStr">
        <is>
          <t>Scheduled</t>
        </is>
      </c>
    </row>
    <row r="13">
      <c r="B13" s="35" t="inlineStr">
        <is>
          <t>Close</t>
        </is>
      </c>
      <c r="C13" s="57" t="n">
        <v>46214</v>
      </c>
      <c r="D13" s="35" t="inlineStr">
        <is>
          <t>Cart-close email + last call</t>
        </is>
      </c>
      <c r="E13" s="36" t="inlineStr">
        <is>
          <t>Planned</t>
        </is>
      </c>
    </row>
    <row r="14">
      <c r="B14" s="28" t="inlineStr">
        <is>
          <t>Post-launch</t>
        </is>
      </c>
      <c r="C14" s="58" t="n">
        <v>46218</v>
      </c>
      <c r="D14" s="28" t="inlineStr">
        <is>
          <t>Recap + testimonials</t>
        </is>
      </c>
      <c r="E14" s="27" t="inlineStr">
        <is>
          <t>Planned</t>
        </is>
      </c>
    </row>
    <row r="16" ht="22" customHeight="1">
      <c r="B16" s="4" t="inlineStr">
        <is>
          <t>LAUNCH TARGETS</t>
        </is>
      </c>
    </row>
    <row r="17">
      <c r="B17" s="17" t="inlineStr">
        <is>
          <t>Revenue goal</t>
        </is>
      </c>
      <c r="C17" s="18" t="inlineStr">
        <is>
          <t>$6,000</t>
        </is>
      </c>
      <c r="D17" s="17" t="inlineStr">
        <is>
          <t>Units goal</t>
        </is>
      </c>
      <c r="E17" s="18" t="inlineStr">
        <is>
          <t>150</t>
        </is>
      </c>
    </row>
    <row r="18">
      <c r="B18" s="17" t="inlineStr">
        <is>
          <t>Promo budget</t>
        </is>
      </c>
      <c r="C18" s="18" t="inlineStr">
        <is>
          <t>$400</t>
        </is>
      </c>
      <c r="D18" s="17" t="inlineStr">
        <is>
          <t>Waitlist size</t>
        </is>
      </c>
      <c r="E18" s="18" t="inlineStr">
        <is>
          <t>1,240</t>
        </is>
      </c>
    </row>
    <row r="19">
      <c r="B19" s="17" t="inlineStr">
        <is>
          <t>Email sequence</t>
        </is>
      </c>
      <c r="C19" s="18" t="inlineStr">
        <is>
          <t>5 emails</t>
        </is>
      </c>
      <c r="D19" s="17" t="inlineStr">
        <is>
          <t>Affiliate partners</t>
        </is>
      </c>
      <c r="E19" s="18" t="inlineStr">
        <is>
          <t>3</t>
        </is>
      </c>
    </row>
  </sheetData>
  <mergeCells count="4">
    <mergeCell ref="A2:F2"/>
    <mergeCell ref="A1:F1"/>
    <mergeCell ref="B5:E5"/>
    <mergeCell ref="B16:E16"/>
  </mergeCells>
  <conditionalFormatting sqref="E7:E14">
    <cfRule type="cellIs" priority="1" operator="equal" dxfId="0">
      <formula>"Done"</formula>
    </cfRule>
    <cfRule type="cellIs" priority="2" operator="equal" dxfId="1">
      <formula>"Scheduled"</formula>
    </cfRule>
    <cfRule type="cellIs" priority="3" operator="equal" dxfId="4">
      <formula>"Planned"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0" customWidth="1" min="3" max="3"/>
    <col width="4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👤  AUDIENCE INSIGHTS</t>
        </is>
      </c>
    </row>
    <row r="2" ht="22" customHeight="1">
      <c r="A2" s="2" t="inlineStr">
        <is>
          <t xml:space="preserve">  Know who you serve — personas, pain points &amp; the content they're asking for.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6" t="inlineStr">
        <is>
          <t>PRIMARY PERSONA</t>
        </is>
      </c>
      <c r="E5" s="4" t="inlineStr">
        <is>
          <t>TOP PAIN POINTS</t>
        </is>
      </c>
    </row>
    <row r="6">
      <c r="B6" s="17" t="inlineStr">
        <is>
          <t>Name</t>
        </is>
      </c>
      <c r="C6" s="18" t="inlineStr">
        <is>
          <t>Side-Hustle Sam</t>
        </is>
      </c>
      <c r="E6" s="35" t="inlineStr">
        <is>
          <t>•  "I don't know what to post"</t>
        </is>
      </c>
      <c r="F6" s="59" t="n"/>
    </row>
    <row r="7">
      <c r="B7" s="17" t="inlineStr">
        <is>
          <t>Age</t>
        </is>
      </c>
      <c r="C7" s="18" t="inlineStr">
        <is>
          <t>24–38</t>
        </is>
      </c>
      <c r="E7" s="35" t="inlineStr">
        <is>
          <t>•  "I'm not making money yet"</t>
        </is>
      </c>
      <c r="F7" s="59" t="n"/>
    </row>
    <row r="8">
      <c r="B8" s="17" t="inlineStr">
        <is>
          <t>Stage</t>
        </is>
      </c>
      <c r="C8" s="18" t="inlineStr">
        <is>
          <t>0–10k followers, part-time</t>
        </is>
      </c>
      <c r="E8" s="35" t="inlineStr">
        <is>
          <t>•  "I can't stay consistent"</t>
        </is>
      </c>
      <c r="F8" s="59" t="n"/>
    </row>
    <row r="9">
      <c r="B9" s="17" t="inlineStr">
        <is>
          <t>Goal</t>
        </is>
      </c>
      <c r="C9" s="18" t="inlineStr">
        <is>
          <t>Turn content into income</t>
        </is>
      </c>
      <c r="E9" s="35" t="inlineStr">
        <is>
          <t>•  "Editing takes forever"</t>
        </is>
      </c>
      <c r="F9" s="59" t="n"/>
    </row>
    <row r="10">
      <c r="B10" s="17" t="inlineStr">
        <is>
          <t>Blocker</t>
        </is>
      </c>
      <c r="C10" s="18" t="inlineStr">
        <is>
          <t>Overwhelmed, disorganized</t>
        </is>
      </c>
      <c r="E10" s="35" t="inlineStr">
        <is>
          <t>•  "How do I get sponsors?"</t>
        </is>
      </c>
      <c r="F10" s="59" t="n"/>
    </row>
    <row r="11">
      <c r="B11" s="17" t="inlineStr">
        <is>
          <t>Where</t>
        </is>
      </c>
      <c r="C11" s="18" t="inlineStr">
        <is>
          <t>YouTube + TikTok</t>
        </is>
      </c>
    </row>
    <row r="12">
      <c r="B12" s="17" t="inlineStr">
        <is>
          <t>Spends on</t>
        </is>
      </c>
      <c r="C12" s="18" t="inlineStr">
        <is>
          <t>Tools &amp; courses that save time</t>
        </is>
      </c>
    </row>
    <row r="14" ht="22" customHeight="1">
      <c r="B14" s="4" t="inlineStr">
        <is>
          <t>MOST-REQUESTED TOPICS</t>
        </is>
      </c>
      <c r="E14" s="4" t="inlineStr">
        <is>
          <t>COMMUNITY FEEDBACK</t>
        </is>
      </c>
    </row>
    <row r="15">
      <c r="B15" s="7" t="inlineStr">
        <is>
          <t>Topic</t>
        </is>
      </c>
      <c r="C15" s="7" t="inlineStr">
        <is>
          <t>Requests</t>
        </is>
      </c>
      <c r="E15" s="35" t="inlineStr">
        <is>
          <t>“Your systems changed my channel”</t>
        </is>
      </c>
    </row>
    <row r="16">
      <c r="B16" s="35" t="inlineStr">
        <is>
          <t>Sponsorship outreach</t>
        </is>
      </c>
      <c r="C16" s="36" t="n">
        <v>42</v>
      </c>
      <c r="E16" s="35" t="inlineStr">
        <is>
          <t>“Finally hit $1k this month!”</t>
        </is>
      </c>
    </row>
    <row r="17">
      <c r="B17" s="28" t="inlineStr">
        <is>
          <t>Editing workflows</t>
        </is>
      </c>
      <c r="C17" s="27" t="n">
        <v>38</v>
      </c>
      <c r="E17" s="35" t="inlineStr">
        <is>
          <t>“The tax kit paid for itself”</t>
        </is>
      </c>
    </row>
    <row r="18">
      <c r="B18" s="35" t="inlineStr">
        <is>
          <t>Pricing products</t>
        </is>
      </c>
      <c r="C18" s="36" t="n">
        <v>31</v>
      </c>
      <c r="E18" s="35" t="inlineStr">
        <is>
          <t>“More faceless content please”</t>
        </is>
      </c>
    </row>
    <row r="19">
      <c r="B19" s="28" t="inlineStr">
        <is>
          <t>Content batching</t>
        </is>
      </c>
      <c r="C19" s="27" t="n">
        <v>28</v>
      </c>
    </row>
    <row r="20">
      <c r="B20" s="35" t="inlineStr">
        <is>
          <t>Faceless content</t>
        </is>
      </c>
      <c r="C20" s="36" t="n">
        <v>22</v>
      </c>
    </row>
  </sheetData>
  <mergeCells count="15">
    <mergeCell ref="E6:F6"/>
    <mergeCell ref="A1:G1"/>
    <mergeCell ref="E16:F16"/>
    <mergeCell ref="E15:F15"/>
    <mergeCell ref="E7:F7"/>
    <mergeCell ref="E10:F10"/>
    <mergeCell ref="B5:C5"/>
    <mergeCell ref="E18:F18"/>
    <mergeCell ref="E5:F5"/>
    <mergeCell ref="A2:G2"/>
    <mergeCell ref="B14:C14"/>
    <mergeCell ref="E14:F14"/>
    <mergeCell ref="E17:F17"/>
    <mergeCell ref="E9:F9"/>
    <mergeCell ref="E8:F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</cols>
  <sheetData>
    <row r="1" ht="46" customHeight="1">
      <c r="A1" s="1" t="inlineStr">
        <is>
          <t xml:space="preserve">  🔍  SEO &amp; KEYWORD PLANNER</t>
        </is>
      </c>
    </row>
    <row r="2" ht="22" customHeight="1">
      <c r="A2" s="2" t="inlineStr">
        <is>
          <t xml:space="preserve">  Get found — map keywords to content by intent, priority &amp;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Keyword</t>
        </is>
      </c>
      <c r="B4" s="7" t="inlineStr">
        <is>
          <t>Search Intent</t>
        </is>
      </c>
      <c r="C4" s="7" t="inlineStr">
        <is>
          <t>Platform</t>
        </is>
      </c>
      <c r="D4" s="7" t="inlineStr">
        <is>
          <t>Target Content</t>
        </is>
      </c>
      <c r="E4" s="7" t="inlineStr">
        <is>
          <t>Priority</t>
        </is>
      </c>
      <c r="F4" s="7" t="inlineStr">
        <is>
          <t>Status</t>
        </is>
      </c>
    </row>
    <row r="5">
      <c r="A5" s="25" t="inlineStr">
        <is>
          <t>how to start a youtube channel</t>
        </is>
      </c>
      <c r="B5" s="24" t="inlineStr">
        <is>
          <t>Informational</t>
        </is>
      </c>
      <c r="C5" s="24" t="inlineStr">
        <is>
          <t>YouTube</t>
        </is>
      </c>
      <c r="D5" s="25" t="inlineStr">
        <is>
          <t>Beginner guide video</t>
        </is>
      </c>
      <c r="E5" s="24" t="inlineStr">
        <is>
          <t>High</t>
        </is>
      </c>
      <c r="F5" s="24" t="inlineStr">
        <is>
          <t>Published</t>
        </is>
      </c>
    </row>
    <row r="6">
      <c r="A6" s="28" t="inlineStr">
        <is>
          <t>best camera for youtube 2024</t>
        </is>
      </c>
      <c r="B6" s="27" t="inlineStr">
        <is>
          <t>Commercial</t>
        </is>
      </c>
      <c r="C6" s="27" t="inlineStr">
        <is>
          <t>Blog</t>
        </is>
      </c>
      <c r="D6" s="28" t="inlineStr">
        <is>
          <t>Gear roundup</t>
        </is>
      </c>
      <c r="E6" s="27" t="inlineStr">
        <is>
          <t>High</t>
        </is>
      </c>
      <c r="F6" s="27" t="inlineStr">
        <is>
          <t>In Progress</t>
        </is>
      </c>
    </row>
    <row r="7">
      <c r="A7" s="25" t="inlineStr">
        <is>
          <t>content calendar template</t>
        </is>
      </c>
      <c r="B7" s="24" t="inlineStr">
        <is>
          <t>Transactional</t>
        </is>
      </c>
      <c r="C7" s="24" t="inlineStr">
        <is>
          <t>Blog</t>
        </is>
      </c>
      <c r="D7" s="25" t="inlineStr">
        <is>
          <t>Free template + upsell</t>
        </is>
      </c>
      <c r="E7" s="24" t="inlineStr">
        <is>
          <t>High</t>
        </is>
      </c>
      <c r="F7" s="24" t="inlineStr">
        <is>
          <t>Published</t>
        </is>
      </c>
    </row>
    <row r="8">
      <c r="A8" s="28" t="inlineStr">
        <is>
          <t>how much do creators make</t>
        </is>
      </c>
      <c r="B8" s="27" t="inlineStr">
        <is>
          <t>Informational</t>
        </is>
      </c>
      <c r="C8" s="27" t="inlineStr">
        <is>
          <t>YouTube</t>
        </is>
      </c>
      <c r="D8" s="28" t="inlineStr">
        <is>
          <t>Income breakdown</t>
        </is>
      </c>
      <c r="E8" s="27" t="inlineStr">
        <is>
          <t>Medium</t>
        </is>
      </c>
      <c r="F8" s="27" t="inlineStr">
        <is>
          <t>Idea</t>
        </is>
      </c>
    </row>
    <row r="9">
      <c r="A9" s="25" t="inlineStr">
        <is>
          <t>digital product ideas</t>
        </is>
      </c>
      <c r="B9" s="24" t="inlineStr">
        <is>
          <t>Informational</t>
        </is>
      </c>
      <c r="C9" s="24" t="inlineStr">
        <is>
          <t>Newsletter</t>
        </is>
      </c>
      <c r="D9" s="25" t="inlineStr">
        <is>
          <t>Idea list</t>
        </is>
      </c>
      <c r="E9" s="24" t="inlineStr">
        <is>
          <t>Medium</t>
        </is>
      </c>
      <c r="F9" s="24" t="inlineStr">
        <is>
          <t>Idea</t>
        </is>
      </c>
    </row>
    <row r="10">
      <c r="A10" s="28" t="inlineStr">
        <is>
          <t>notion for content creators</t>
        </is>
      </c>
      <c r="B10" s="27" t="inlineStr">
        <is>
          <t>Commercial</t>
        </is>
      </c>
      <c r="C10" s="27" t="inlineStr">
        <is>
          <t>YouTube</t>
        </is>
      </c>
      <c r="D10" s="28" t="inlineStr">
        <is>
          <t>Notion setup tutorial</t>
        </is>
      </c>
      <c r="E10" s="27" t="inlineStr">
        <is>
          <t>Medium</t>
        </is>
      </c>
      <c r="F10" s="27" t="inlineStr">
        <is>
          <t>Planned</t>
        </is>
      </c>
    </row>
    <row r="11">
      <c r="A11" s="25" t="inlineStr">
        <is>
          <t>faceless youtube automation</t>
        </is>
      </c>
      <c r="B11" s="24" t="inlineStr">
        <is>
          <t>Informational</t>
        </is>
      </c>
      <c r="C11" s="24" t="inlineStr">
        <is>
          <t>Blog</t>
        </is>
      </c>
      <c r="D11" s="25" t="inlineStr">
        <is>
          <t>Playbook post</t>
        </is>
      </c>
      <c r="E11" s="24" t="inlineStr">
        <is>
          <t>High</t>
        </is>
      </c>
      <c r="F11" s="24" t="inlineStr">
        <is>
          <t>Idea</t>
        </is>
      </c>
    </row>
    <row r="12">
      <c r="A12" s="28" t="inlineStr">
        <is>
          <t>sponsorship rate calculator</t>
        </is>
      </c>
      <c r="B12" s="27" t="inlineStr">
        <is>
          <t>Transactional</t>
        </is>
      </c>
      <c r="C12" s="27" t="inlineStr">
        <is>
          <t>Blog</t>
        </is>
      </c>
      <c r="D12" s="28" t="inlineStr">
        <is>
          <t>Calculator tool</t>
        </is>
      </c>
      <c r="E12" s="27" t="inlineStr">
        <is>
          <t>Medium</t>
        </is>
      </c>
      <c r="F12" s="27" t="inlineStr">
        <is>
          <t>Planned</t>
        </is>
      </c>
    </row>
    <row r="13">
      <c r="A13" s="25" t="n"/>
      <c r="B13" s="24" t="n"/>
      <c r="C13" s="24" t="n"/>
      <c r="D13" s="25" t="n"/>
      <c r="E13" s="24" t="n"/>
      <c r="F13" s="24" t="n"/>
    </row>
    <row r="14">
      <c r="A14" s="28" t="n"/>
      <c r="B14" s="27" t="n"/>
      <c r="C14" s="27" t="n"/>
      <c r="D14" s="28" t="n"/>
      <c r="E14" s="27" t="n"/>
      <c r="F14" s="27" t="n"/>
    </row>
    <row r="15">
      <c r="A15" s="25" t="n"/>
      <c r="B15" s="24" t="n"/>
      <c r="C15" s="24" t="n"/>
      <c r="D15" s="25" t="n"/>
      <c r="E15" s="24" t="n"/>
      <c r="F15" s="24" t="n"/>
    </row>
    <row r="16">
      <c r="A16" s="28" t="n"/>
      <c r="B16" s="27" t="n"/>
      <c r="C16" s="27" t="n"/>
      <c r="D16" s="28" t="n"/>
      <c r="E16" s="27" t="n"/>
      <c r="F16" s="27" t="n"/>
    </row>
    <row r="17">
      <c r="A17" s="25" t="n"/>
      <c r="B17" s="24" t="n"/>
      <c r="C17" s="24" t="n"/>
      <c r="D17" s="25" t="n"/>
      <c r="E17" s="24" t="n"/>
      <c r="F17" s="24" t="n"/>
    </row>
    <row r="18">
      <c r="A18" s="28" t="n"/>
      <c r="B18" s="27" t="n"/>
      <c r="C18" s="27" t="n"/>
      <c r="D18" s="28" t="n"/>
      <c r="E18" s="27" t="n"/>
      <c r="F18" s="27" t="n"/>
    </row>
    <row r="19">
      <c r="A19" s="25" t="n"/>
      <c r="B19" s="24" t="n"/>
      <c r="C19" s="24" t="n"/>
      <c r="D19" s="25" t="n"/>
      <c r="E19" s="24" t="n"/>
      <c r="F19" s="24" t="n"/>
    </row>
    <row r="20">
      <c r="A20" s="28" t="n"/>
      <c r="B20" s="27" t="n"/>
      <c r="C20" s="27" t="n"/>
      <c r="D20" s="28" t="n"/>
      <c r="E20" s="27" t="n"/>
      <c r="F20" s="27" t="n"/>
    </row>
    <row r="21">
      <c r="A21" s="25" t="n"/>
      <c r="B21" s="24" t="n"/>
      <c r="C21" s="24" t="n"/>
      <c r="D21" s="25" t="n"/>
      <c r="E21" s="24" t="n"/>
      <c r="F21" s="24" t="n"/>
    </row>
    <row r="22">
      <c r="A22" s="28" t="n"/>
      <c r="B22" s="27" t="n"/>
      <c r="C22" s="27" t="n"/>
      <c r="D22" s="28" t="n"/>
      <c r="E22" s="27" t="n"/>
      <c r="F22" s="27" t="n"/>
    </row>
    <row r="23">
      <c r="A23" s="25" t="n"/>
      <c r="B23" s="24" t="n"/>
      <c r="C23" s="24" t="n"/>
      <c r="D23" s="25" t="n"/>
      <c r="E23" s="24" t="n"/>
      <c r="F23" s="24" t="n"/>
    </row>
    <row r="24">
      <c r="A24" s="28" t="n"/>
      <c r="B24" s="27" t="n"/>
      <c r="C24" s="27" t="n"/>
      <c r="D24" s="28" t="n"/>
      <c r="E24" s="27" t="n"/>
      <c r="F24" s="27" t="n"/>
    </row>
    <row r="25">
      <c r="A25" s="25" t="n"/>
      <c r="B25" s="24" t="n"/>
      <c r="C25" s="24" t="n"/>
      <c r="D25" s="25" t="n"/>
      <c r="E25" s="24" t="n"/>
      <c r="F25" s="24" t="n"/>
    </row>
    <row r="26">
      <c r="A26" s="28" t="n"/>
      <c r="B26" s="27" t="n"/>
      <c r="C26" s="27" t="n"/>
      <c r="D26" s="28" t="n"/>
      <c r="E26" s="27" t="n"/>
      <c r="F26" s="27" t="n"/>
    </row>
    <row r="27">
      <c r="A27" s="25" t="n"/>
      <c r="B27" s="24" t="n"/>
      <c r="C27" s="24" t="n"/>
      <c r="D27" s="25" t="n"/>
      <c r="E27" s="24" t="n"/>
      <c r="F27" s="24" t="n"/>
    </row>
    <row r="28">
      <c r="A28" s="28" t="n"/>
      <c r="B28" s="27" t="n"/>
      <c r="C28" s="27" t="n"/>
      <c r="D28" s="28" t="n"/>
      <c r="E28" s="27" t="n"/>
      <c r="F28" s="27" t="n"/>
    </row>
    <row r="29">
      <c r="A29" s="25" t="n"/>
      <c r="B29" s="24" t="n"/>
      <c r="C29" s="24" t="n"/>
      <c r="D29" s="25" t="n"/>
      <c r="E29" s="24" t="n"/>
      <c r="F29" s="24" t="n"/>
    </row>
    <row r="30">
      <c r="A30" s="28" t="n"/>
      <c r="B30" s="27" t="n"/>
      <c r="C30" s="27" t="n"/>
      <c r="D30" s="28" t="n"/>
      <c r="E30" s="27" t="n"/>
      <c r="F30" s="27" t="n"/>
    </row>
    <row r="31">
      <c r="A31" s="25" t="n"/>
      <c r="B31" s="24" t="n"/>
      <c r="C31" s="24" t="n"/>
      <c r="D31" s="25" t="n"/>
      <c r="E31" s="24" t="n"/>
      <c r="F31" s="24" t="n"/>
    </row>
    <row r="32">
      <c r="A32" s="28" t="n"/>
      <c r="B32" s="27" t="n"/>
      <c r="C32" s="27" t="n"/>
      <c r="D32" s="28" t="n"/>
      <c r="E32" s="27" t="n"/>
      <c r="F32" s="27" t="n"/>
    </row>
    <row r="33">
      <c r="A33" s="25" t="n"/>
      <c r="B33" s="24" t="n"/>
      <c r="C33" s="24" t="n"/>
      <c r="D33" s="25" t="n"/>
      <c r="E33" s="24" t="n"/>
      <c r="F33" s="24" t="n"/>
    </row>
    <row r="34">
      <c r="A34" s="28" t="n"/>
      <c r="B34" s="27" t="n"/>
      <c r="C34" s="27" t="n"/>
      <c r="D34" s="28" t="n"/>
      <c r="E34" s="27" t="n"/>
      <c r="F34" s="27" t="n"/>
    </row>
    <row r="35">
      <c r="A35" s="25" t="n"/>
      <c r="B35" s="24" t="n"/>
      <c r="C35" s="24" t="n"/>
      <c r="D35" s="25" t="n"/>
      <c r="E35" s="24" t="n"/>
      <c r="F35" s="24" t="n"/>
    </row>
    <row r="36">
      <c r="A36" s="28" t="n"/>
      <c r="B36" s="27" t="n"/>
      <c r="C36" s="27" t="n"/>
      <c r="D36" s="28" t="n"/>
      <c r="E36" s="27" t="n"/>
      <c r="F36" s="27" t="n"/>
    </row>
    <row r="37">
      <c r="A37" s="25" t="n"/>
      <c r="B37" s="24" t="n"/>
      <c r="C37" s="24" t="n"/>
      <c r="D37" s="25" t="n"/>
      <c r="E37" s="24" t="n"/>
      <c r="F37" s="24" t="n"/>
    </row>
    <row r="38">
      <c r="A38" s="28" t="n"/>
      <c r="B38" s="27" t="n"/>
      <c r="C38" s="27" t="n"/>
      <c r="D38" s="28" t="n"/>
      <c r="E38" s="27" t="n"/>
      <c r="F38" s="27" t="n"/>
    </row>
    <row r="39">
      <c r="A39" s="25" t="n"/>
      <c r="B39" s="24" t="n"/>
      <c r="C39" s="24" t="n"/>
      <c r="D39" s="25" t="n"/>
      <c r="E39" s="24" t="n"/>
      <c r="F39" s="24" t="n"/>
    </row>
    <row r="40">
      <c r="A40" s="28" t="n"/>
      <c r="B40" s="27" t="n"/>
      <c r="C40" s="27" t="n"/>
      <c r="D40" s="28" t="n"/>
      <c r="E40" s="27" t="n"/>
      <c r="F40" s="27" t="n"/>
    </row>
    <row r="41">
      <c r="A41" s="25" t="n"/>
      <c r="B41" s="24" t="n"/>
      <c r="C41" s="24" t="n"/>
      <c r="D41" s="25" t="n"/>
      <c r="E41" s="24" t="n"/>
      <c r="F41" s="24" t="n"/>
    </row>
    <row r="42">
      <c r="A42" s="28" t="n"/>
      <c r="B42" s="27" t="n"/>
      <c r="C42" s="27" t="n"/>
      <c r="D42" s="28" t="n"/>
      <c r="E42" s="27" t="n"/>
      <c r="F42" s="27" t="n"/>
    </row>
    <row r="43">
      <c r="A43" s="25" t="n"/>
      <c r="B43" s="24" t="n"/>
      <c r="C43" s="24" t="n"/>
      <c r="D43" s="25" t="n"/>
      <c r="E43" s="24" t="n"/>
      <c r="F43" s="24" t="n"/>
    </row>
    <row r="44">
      <c r="A44" s="28" t="n"/>
      <c r="B44" s="27" t="n"/>
      <c r="C44" s="27" t="n"/>
      <c r="D44" s="28" t="n"/>
      <c r="E44" s="27" t="n"/>
      <c r="F44" s="27" t="n"/>
    </row>
  </sheetData>
  <mergeCells count="2">
    <mergeCell ref="A2:F2"/>
    <mergeCell ref="A1:F1"/>
  </mergeCells>
  <conditionalFormatting sqref="E5:E44">
    <cfRule type="cellIs" priority="1" operator="equal" dxfId="7">
      <formula>"High"</formula>
    </cfRule>
  </conditionalFormatting>
  <dataValidations count="3">
    <dataValidation sqref="C5:C44" showDropDown="0" showInputMessage="0" showErrorMessage="0" allowBlank="1" type="list">
      <formula1>=PlatformList</formula1>
    </dataValidation>
    <dataValidation sqref="E5:E44" showDropDown="0" showInputMessage="0" showErrorMessage="0" allowBlank="1" type="list">
      <formula1>=PriorityList</formula1>
    </dataValidation>
    <dataValidation sqref="F5:F44" showDropDown="0" showInputMessage="0" showErrorMessage="0" allowBlank="1" type="list">
      <formula1>=ContentStatusList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37356"/>
    <outlinePr summaryBelow="1" summaryRight="1"/>
    <pageSetUpPr/>
  </sheetPr>
  <dimension ref="A1:K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 ht="46" customHeight="1">
      <c r="A1" s="1" t="inlineStr">
        <is>
          <t xml:space="preserve">  ♻  CONTENT REPURPOSING MATRIX</t>
        </is>
      </c>
    </row>
    <row r="2" ht="22" customHeight="1">
      <c r="A2" s="2" t="inlineStr">
        <is>
          <t xml:space="preserve">  One piece → ten assets — turn every long-form into a week of content.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7" t="inlineStr">
        <is>
          <t>Source Content</t>
        </is>
      </c>
      <c r="B4" s="7" t="inlineStr">
        <is>
          <t>Shorts</t>
        </is>
      </c>
      <c r="C4" s="7" t="inlineStr">
        <is>
          <t>Reel</t>
        </is>
      </c>
      <c r="D4" s="7" t="inlineStr">
        <is>
          <t>TikTok</t>
        </is>
      </c>
      <c r="E4" s="7" t="inlineStr">
        <is>
          <t>Carousel</t>
        </is>
      </c>
      <c r="F4" s="7" t="inlineStr">
        <is>
          <t>Blog</t>
        </is>
      </c>
      <c r="G4" s="7" t="inlineStr">
        <is>
          <t>Newsletter</t>
        </is>
      </c>
      <c r="H4" s="7" t="inlineStr">
        <is>
          <t>Pins</t>
        </is>
      </c>
      <c r="I4" s="7" t="inlineStr">
        <is>
          <t>Pod Clip</t>
        </is>
      </c>
      <c r="J4" s="7" t="inlineStr">
        <is>
          <t>Quote Gfx</t>
        </is>
      </c>
      <c r="K4" s="7" t="inlineStr">
        <is>
          <t>Done</t>
        </is>
      </c>
    </row>
    <row r="5">
      <c r="A5" s="35" t="inlineStr">
        <is>
          <t>$0 to $8k/mo as a creator</t>
        </is>
      </c>
      <c r="B5" s="60" t="inlineStr">
        <is>
          <t>✓</t>
        </is>
      </c>
      <c r="C5" s="60" t="inlineStr">
        <is>
          <t>✓</t>
        </is>
      </c>
      <c r="D5" s="60" t="inlineStr">
        <is>
          <t>✓</t>
        </is>
      </c>
      <c r="E5" s="60" t="inlineStr">
        <is>
          <t>✓</t>
        </is>
      </c>
      <c r="F5" s="60" t="inlineStr">
        <is>
          <t>✓</t>
        </is>
      </c>
      <c r="G5" s="60" t="inlineStr">
        <is>
          <t>✓</t>
        </is>
      </c>
      <c r="H5" s="61" t="inlineStr">
        <is>
          <t>○</t>
        </is>
      </c>
      <c r="I5" s="60" t="inlineStr">
        <is>
          <t>✓</t>
        </is>
      </c>
      <c r="J5" s="60" t="inlineStr">
        <is>
          <t>✓</t>
        </is>
      </c>
      <c r="K5" s="62">
        <f>8/9</f>
        <v/>
      </c>
    </row>
    <row r="6">
      <c r="A6" s="35" t="inlineStr">
        <is>
          <t>5 Systems That 10x Output</t>
        </is>
      </c>
      <c r="B6" s="60" t="inlineStr">
        <is>
          <t>✓</t>
        </is>
      </c>
      <c r="C6" s="60" t="inlineStr">
        <is>
          <t>✓</t>
        </is>
      </c>
      <c r="D6" s="60" t="inlineStr">
        <is>
          <t>✓</t>
        </is>
      </c>
      <c r="E6" s="60" t="inlineStr">
        <is>
          <t>✓</t>
        </is>
      </c>
      <c r="F6" s="61" t="inlineStr">
        <is>
          <t>○</t>
        </is>
      </c>
      <c r="G6" s="60" t="inlineStr">
        <is>
          <t>✓</t>
        </is>
      </c>
      <c r="H6" s="60" t="inlineStr">
        <is>
          <t>✓</t>
        </is>
      </c>
      <c r="I6" s="60" t="inlineStr">
        <is>
          <t>✓</t>
        </is>
      </c>
      <c r="J6" s="61" t="inlineStr">
        <is>
          <t>○</t>
        </is>
      </c>
      <c r="K6" s="62">
        <f>7/9</f>
        <v/>
      </c>
    </row>
    <row r="7">
      <c r="A7" s="35" t="inlineStr">
        <is>
          <t>The 2-folder content system</t>
        </is>
      </c>
      <c r="B7" s="60" t="inlineStr">
        <is>
          <t>✓</t>
        </is>
      </c>
      <c r="C7" s="60" t="inlineStr">
        <is>
          <t>✓</t>
        </is>
      </c>
      <c r="D7" s="60" t="inlineStr">
        <is>
          <t>✓</t>
        </is>
      </c>
      <c r="E7" s="61" t="inlineStr">
        <is>
          <t>○</t>
        </is>
      </c>
      <c r="F7" s="61" t="inlineStr">
        <is>
          <t>○</t>
        </is>
      </c>
      <c r="G7" s="61" t="inlineStr">
        <is>
          <t>○</t>
        </is>
      </c>
      <c r="H7" s="61" t="inlineStr">
        <is>
          <t>○</t>
        </is>
      </c>
      <c r="I7" s="61" t="inlineStr">
        <is>
          <t>○</t>
        </is>
      </c>
      <c r="J7" s="60" t="inlineStr">
        <is>
          <t>✓</t>
        </is>
      </c>
      <c r="K7" s="62">
        <f>4/9</f>
        <v/>
      </c>
    </row>
    <row r="8">
      <c r="A8" s="35" t="inlineStr">
        <is>
          <t>Interview: scaling full-time</t>
        </is>
      </c>
      <c r="B8" s="60" t="inlineStr">
        <is>
          <t>✓</t>
        </is>
      </c>
      <c r="C8" s="61" t="inlineStr">
        <is>
          <t>○</t>
        </is>
      </c>
      <c r="D8" s="60" t="inlineStr">
        <is>
          <t>✓</t>
        </is>
      </c>
      <c r="E8" s="60" t="inlineStr">
        <is>
          <t>✓</t>
        </is>
      </c>
      <c r="F8" s="60" t="inlineStr">
        <is>
          <t>✓</t>
        </is>
      </c>
      <c r="G8" s="60" t="inlineStr">
        <is>
          <t>✓</t>
        </is>
      </c>
      <c r="H8" s="61" t="inlineStr">
        <is>
          <t>○</t>
        </is>
      </c>
      <c r="I8" s="60" t="inlineStr">
        <is>
          <t>✓</t>
        </is>
      </c>
      <c r="J8" s="61" t="inlineStr">
        <is>
          <t>○</t>
        </is>
      </c>
      <c r="K8" s="62">
        <f>6/9</f>
        <v/>
      </c>
    </row>
    <row r="9">
      <c r="A9" s="35" t="inlineStr">
        <is>
          <t>Full content workflow (2024)</t>
        </is>
      </c>
      <c r="B9" s="61" t="inlineStr">
        <is>
          <t>○</t>
        </is>
      </c>
      <c r="C9" s="61" t="inlineStr">
        <is>
          <t>○</t>
        </is>
      </c>
      <c r="D9" s="61" t="inlineStr">
        <is>
          <t>○</t>
        </is>
      </c>
      <c r="E9" s="61" t="inlineStr">
        <is>
          <t>○</t>
        </is>
      </c>
      <c r="F9" s="61" t="inlineStr">
        <is>
          <t>○</t>
        </is>
      </c>
      <c r="G9" s="61" t="inlineStr">
        <is>
          <t>○</t>
        </is>
      </c>
      <c r="H9" s="61" t="inlineStr">
        <is>
          <t>○</t>
        </is>
      </c>
      <c r="I9" s="61" t="inlineStr">
        <is>
          <t>○</t>
        </is>
      </c>
      <c r="J9" s="61" t="inlineStr">
        <is>
          <t>○</t>
        </is>
      </c>
      <c r="K9" s="62">
        <f>0/9</f>
        <v/>
      </c>
    </row>
  </sheetData>
  <mergeCells count="2">
    <mergeCell ref="A2:K2"/>
    <mergeCell ref="A1:K1"/>
  </mergeCells>
  <conditionalFormatting sqref="K5:K9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5E6C1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BRAND GALLERY</t>
        </is>
      </c>
    </row>
    <row r="2" ht="22" customHeight="1">
      <c r="A2" s="2" t="inlineStr">
        <is>
          <t xml:space="preserve">  Your visual brand in one board — logos, mood, thumbnails, mockups &amp; media kit.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Brand Logos</t>
        </is>
      </c>
      <c r="F5" s="7" t="inlineStr">
        <is>
          <t xml:space="preserve">  Mood Board</t>
        </is>
      </c>
    </row>
    <row r="6" ht="24" customHeight="1">
      <c r="B6" s="63" t="inlineStr">
        <is>
          <t>📷
Paste image here
(Insert ▸ Picture)</t>
        </is>
      </c>
      <c r="F6" s="63" t="inlineStr">
        <is>
          <t>📷
Paste image here
(Insert ▸ Picture)</t>
        </is>
      </c>
    </row>
    <row r="7" ht="24" customHeight="1"/>
    <row r="8" ht="24" customHeight="1"/>
    <row r="9" ht="24" customHeight="1"/>
    <row r="10" ht="24" customHeight="1"/>
    <row r="11">
      <c r="B11" s="17" t="inlineStr">
        <is>
          <t>Notes</t>
        </is>
      </c>
      <c r="C11" s="18" t="inlineStr"/>
      <c r="F11" s="17" t="inlineStr">
        <is>
          <t>Notes</t>
        </is>
      </c>
      <c r="G11" s="18" t="inlineStr"/>
    </row>
    <row r="12">
      <c r="B12" s="17" t="inlineStr">
        <is>
          <t>Status</t>
        </is>
      </c>
      <c r="C12" s="18" t="inlineStr"/>
      <c r="F12" s="17" t="inlineStr">
        <is>
          <t>Status</t>
        </is>
      </c>
      <c r="G12" s="18" t="inlineStr"/>
    </row>
    <row r="14" ht="22" customHeight="1">
      <c r="B14" s="7" t="inlineStr">
        <is>
          <t xml:space="preserve">  Thumbnail Inspo</t>
        </is>
      </c>
      <c r="F14" s="7" t="inlineStr">
        <is>
          <t xml:space="preserve">  IG Feed Layout</t>
        </is>
      </c>
    </row>
    <row r="15" ht="24" customHeight="1">
      <c r="B15" s="63" t="inlineStr">
        <is>
          <t>📷
Paste image here
(Insert ▸ Picture)</t>
        </is>
      </c>
      <c r="F15" s="63" t="inlineStr">
        <is>
          <t>📷
Paste image here
(Insert ▸ Picture)</t>
        </is>
      </c>
    </row>
    <row r="16" ht="24" customHeight="1"/>
    <row r="17" ht="24" customHeight="1"/>
    <row r="18" ht="24" customHeight="1"/>
    <row r="19" ht="24" customHeight="1"/>
    <row r="20">
      <c r="B20" s="17" t="inlineStr">
        <is>
          <t>Notes</t>
        </is>
      </c>
      <c r="C20" s="18" t="inlineStr"/>
      <c r="F20" s="17" t="inlineStr">
        <is>
          <t>Notes</t>
        </is>
      </c>
      <c r="G20" s="18" t="inlineStr"/>
    </row>
    <row r="21">
      <c r="B21" s="17" t="inlineStr">
        <is>
          <t>Status</t>
        </is>
      </c>
      <c r="C21" s="18" t="inlineStr"/>
      <c r="F21" s="17" t="inlineStr">
        <is>
          <t>Status</t>
        </is>
      </c>
      <c r="G21" s="18" t="inlineStr"/>
    </row>
    <row r="23" ht="22" customHeight="1">
      <c r="B23" s="7" t="inlineStr">
        <is>
          <t xml:space="preserve">  Product Mockups</t>
        </is>
      </c>
      <c r="F23" s="7" t="inlineStr">
        <is>
          <t xml:space="preserve">  Media Kit</t>
        </is>
      </c>
    </row>
    <row r="24" ht="24" customHeight="1">
      <c r="B24" s="63" t="inlineStr">
        <is>
          <t>📷
Paste image here
(Insert ▸ Picture)</t>
        </is>
      </c>
      <c r="F24" s="63" t="inlineStr">
        <is>
          <t>📷
Paste image here
(Insert ▸ Picture)</t>
        </is>
      </c>
    </row>
    <row r="25" ht="24" customHeight="1"/>
    <row r="26" ht="24" customHeight="1"/>
    <row r="27" ht="24" customHeight="1"/>
    <row r="28" ht="24" customHeight="1"/>
    <row r="29">
      <c r="B29" s="17" t="inlineStr">
        <is>
          <t>Notes</t>
        </is>
      </c>
      <c r="C29" s="18" t="inlineStr"/>
      <c r="F29" s="17" t="inlineStr">
        <is>
          <t>Notes</t>
        </is>
      </c>
      <c r="G29" s="18" t="inlineStr"/>
    </row>
    <row r="30">
      <c r="B30" s="17" t="inlineStr">
        <is>
          <t>Status</t>
        </is>
      </c>
      <c r="C30" s="18" t="inlineStr"/>
      <c r="F30" s="17" t="inlineStr">
        <is>
          <t>Status</t>
        </is>
      </c>
      <c r="G30" s="18" t="inlineStr"/>
    </row>
  </sheetData>
  <mergeCells count="26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24:H28"/>
    <mergeCell ref="F23:H23"/>
    <mergeCell ref="C20:D20"/>
    <mergeCell ref="A2:I2"/>
    <mergeCell ref="C29:D29"/>
    <mergeCell ref="C12:D12"/>
    <mergeCell ref="B15:D19"/>
    <mergeCell ref="B5:D5"/>
    <mergeCell ref="B6:D10"/>
    <mergeCell ref="C21:D21"/>
    <mergeCell ref="F14:H14"/>
    <mergeCell ref="G30:H30"/>
    <mergeCell ref="C11:D11"/>
    <mergeCell ref="B24:D28"/>
    <mergeCell ref="G29:H29"/>
    <mergeCell ref="G20:H20"/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5D3BA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📈  ANALYTICS COMMAND CENTER</t>
        </is>
      </c>
    </row>
    <row r="2" ht="22" customHeight="1">
      <c r="A2" s="2" t="inlineStr">
        <is>
          <t xml:space="preserve">  Your business by the numbers — every area scored into one Business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BUSINESS HEALTH DIMENSIONS</t>
        </is>
      </c>
      <c r="F5" s="4" t="inlineStr">
        <is>
          <t>BUSINESS HEALTH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64">
        <f>IFERROR(AVERAGE(C7:C12),0)</f>
        <v/>
      </c>
      <c r="G6" s="65" t="n"/>
      <c r="H6" s="65" t="n"/>
    </row>
    <row r="7">
      <c r="B7" s="35" t="inlineStr">
        <is>
          <t>Revenue vs goal</t>
        </is>
      </c>
      <c r="C7" s="39">
        <f>IFERROR(MIN(RevenueTotal/RevenueGoal,1),0)</f>
        <v/>
      </c>
      <c r="D7" s="36">
        <f>IF(C7&gt;=0.75,"Strong",IF(C7&gt;=0.5,"Growing","Focus"))</f>
        <v/>
      </c>
      <c r="F7" s="66" t="n"/>
      <c r="G7" s="66" t="n"/>
      <c r="H7" s="66" t="n"/>
    </row>
    <row r="8">
      <c r="B8" s="28" t="inlineStr">
        <is>
          <t>Profit margin</t>
        </is>
      </c>
      <c r="C8" s="30">
        <f>IFERROR(MIN(((RevenueTotal-ExpenseTotal)/RevenueTotal)/MarginTarget,1),0)</f>
        <v/>
      </c>
      <c r="D8" s="27">
        <f>IF(C8&gt;=0.75,"Strong",IF(C8&gt;=0.5,"Growing","Focus"))</f>
        <v/>
      </c>
      <c r="F8" s="66" t="n"/>
      <c r="G8" s="66" t="n"/>
      <c r="H8" s="66" t="n"/>
    </row>
    <row r="9">
      <c r="B9" s="35" t="inlineStr">
        <is>
          <t>Publishing consistency</t>
        </is>
      </c>
      <c r="C9" s="39">
        <f>IFERROR(MIN(COUNTIFS(PerfDate,"&gt;="&amp;TODAY()-30)/ContentGoal,1),0)</f>
        <v/>
      </c>
      <c r="D9" s="36">
        <f>IF(C9&gt;=0.75,"Strong",IF(C9&gt;=0.5,"Growing","Focus"))</f>
        <v/>
      </c>
      <c r="F9" s="66" t="n"/>
      <c r="G9" s="66" t="n"/>
      <c r="H9" s="66" t="n"/>
    </row>
    <row r="10">
      <c r="B10" s="28" t="inlineStr">
        <is>
          <t>Content completion</t>
        </is>
      </c>
      <c r="C10" s="30">
        <f>IFERROR(AVERAGE(PipeProgress),0)</f>
        <v/>
      </c>
      <c r="D10" s="27">
        <f>IF(C10&gt;=0.75,"Strong",IF(C10&gt;=0.5,"Growing","Focus"))</f>
        <v/>
      </c>
      <c r="F10" s="67" t="inlineStr">
        <is>
          <t>Revenue · margin · output · completion · pipeline · goals.</t>
        </is>
      </c>
    </row>
    <row r="11">
      <c r="B11" s="35" t="inlineStr">
        <is>
          <t>Sponsorship pipeline</t>
        </is>
      </c>
      <c r="C11" s="39">
        <f>IFERROR(MIN((COUNTIF(SponStage,"Signed")+COUNTIF(SponStage,"Delivered")+COUNTIF(SponStage,"Negotiating"))/DealTarget,1),0)</f>
        <v/>
      </c>
      <c r="D11" s="36">
        <f>IF(C11&gt;=0.75,"Strong",IF(C11&gt;=0.5,"Growing","Focus"))</f>
        <v/>
      </c>
    </row>
    <row r="12">
      <c r="B12" s="28" t="inlineStr">
        <is>
          <t>Goal progress</t>
        </is>
      </c>
      <c r="C12" s="30">
        <f>IFERROR(AVERAGE(GoalProgress),0)</f>
        <v/>
      </c>
      <c r="D12" s="27">
        <f>IF(C12&gt;=0.75,"Strong",IF(C12&gt;=0.5,"Growing","Focus"))</f>
        <v/>
      </c>
    </row>
    <row r="15">
      <c r="B15" s="6" t="inlineStr">
        <is>
          <t>AUDIENCE — LAST 6 MONTHS (K)</t>
        </is>
      </c>
    </row>
    <row r="16">
      <c r="B16" s="7" t="inlineStr">
        <is>
          <t>Month</t>
        </is>
      </c>
      <c r="C16" s="7" t="inlineStr">
        <is>
          <t>Followers (K)</t>
        </is>
      </c>
    </row>
    <row r="17">
      <c r="B17" s="35" t="inlineStr">
        <is>
          <t>Feb</t>
        </is>
      </c>
      <c r="C17" s="68" t="n">
        <v>55</v>
      </c>
    </row>
    <row r="18">
      <c r="B18" s="28" t="inlineStr">
        <is>
          <t>Mar</t>
        </is>
      </c>
      <c r="C18" s="34" t="n">
        <v>58.4</v>
      </c>
    </row>
    <row r="19">
      <c r="B19" s="35" t="inlineStr">
        <is>
          <t>Apr</t>
        </is>
      </c>
      <c r="C19" s="68" t="n">
        <v>62.1</v>
      </c>
    </row>
    <row r="20">
      <c r="B20" s="28" t="inlineStr">
        <is>
          <t>May</t>
        </is>
      </c>
      <c r="C20" s="34" t="n">
        <v>65.8</v>
      </c>
    </row>
    <row r="21">
      <c r="B21" s="35" t="inlineStr">
        <is>
          <t>Jun</t>
        </is>
      </c>
      <c r="C21" s="68" t="n">
        <v>68.2</v>
      </c>
    </row>
    <row r="22">
      <c r="B22" s="28" t="inlineStr">
        <is>
          <t>Jul</t>
        </is>
      </c>
      <c r="C22" s="34" t="n">
        <v>72.40000000000001</v>
      </c>
    </row>
  </sheetData>
  <mergeCells count="7">
    <mergeCell ref="F10:H10"/>
    <mergeCell ref="B5:D5"/>
    <mergeCell ref="F5:H5"/>
    <mergeCell ref="A2:H2"/>
    <mergeCell ref="A1:H1"/>
    <mergeCell ref="B15:D15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rgb="00E5D3BA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creator business details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BUSINESS INPUTS</t>
        </is>
      </c>
      <c r="E5" s="4" t="inlineStr">
        <is>
          <t>DROPDOWN LISTS</t>
        </is>
      </c>
    </row>
    <row r="6">
      <c r="B6" s="17" t="inlineStr">
        <is>
          <t>Creator Name</t>
        </is>
      </c>
      <c r="C6" s="69" t="inlineStr">
        <is>
          <t>Ava Sky</t>
        </is>
      </c>
      <c r="E6" s="7" t="inlineStr">
        <is>
          <t>Platform</t>
        </is>
      </c>
      <c r="F6" s="7" t="inlineStr">
        <is>
          <t>Content Type</t>
        </is>
      </c>
      <c r="G6" s="7" t="inlineStr">
        <is>
          <t>Content Status</t>
        </is>
      </c>
      <c r="H6" s="7" t="inlineStr">
        <is>
          <t>Revenue Category</t>
        </is>
      </c>
      <c r="I6" s="7" t="inlineStr">
        <is>
          <t>Expense Category</t>
        </is>
      </c>
      <c r="J6" s="7" t="inlineStr">
        <is>
          <t>Campaign Type</t>
        </is>
      </c>
      <c r="K6" s="7" t="inlineStr">
        <is>
          <t>Goal Category</t>
        </is>
      </c>
      <c r="L6" s="7" t="inlineStr">
        <is>
          <t>Sponsor Stage</t>
        </is>
      </c>
    </row>
    <row r="7">
      <c r="B7" s="17" t="inlineStr">
        <is>
          <t>Brand Name</t>
        </is>
      </c>
      <c r="C7" s="69" t="inlineStr">
        <is>
          <t>Nova Creative</t>
        </is>
      </c>
      <c r="E7" s="35" t="inlineStr">
        <is>
          <t>YouTube</t>
        </is>
      </c>
      <c r="F7" s="35" t="inlineStr">
        <is>
          <t>Long-form Video</t>
        </is>
      </c>
      <c r="G7" s="35" t="inlineStr">
        <is>
          <t>Idea</t>
        </is>
      </c>
      <c r="H7" s="35" t="inlineStr">
        <is>
          <t>Sponsorships</t>
        </is>
      </c>
      <c r="I7" s="35" t="inlineStr">
        <is>
          <t>Software</t>
        </is>
      </c>
      <c r="J7" s="35" t="inlineStr">
        <is>
          <t>Sponsored</t>
        </is>
      </c>
      <c r="K7" s="35" t="inlineStr">
        <is>
          <t>Business</t>
        </is>
      </c>
      <c r="L7" s="35" t="inlineStr">
        <is>
          <t>Lead</t>
        </is>
      </c>
    </row>
    <row r="8">
      <c r="B8" s="17" t="inlineStr">
        <is>
          <t>Primary Platform</t>
        </is>
      </c>
      <c r="C8" s="69" t="inlineStr">
        <is>
          <t>YouTube</t>
        </is>
      </c>
      <c r="E8" s="35" t="inlineStr">
        <is>
          <t>TikTok</t>
        </is>
      </c>
      <c r="F8" s="35" t="inlineStr">
        <is>
          <t>Short</t>
        </is>
      </c>
      <c r="G8" s="35" t="inlineStr">
        <is>
          <t>In Progress</t>
        </is>
      </c>
      <c r="H8" s="35" t="inlineStr">
        <is>
          <t>Affiliate Marketing</t>
        </is>
      </c>
      <c r="I8" s="35" t="inlineStr">
        <is>
          <t>Camera Gear</t>
        </is>
      </c>
      <c r="J8" s="35" t="inlineStr">
        <is>
          <t>Affiliate</t>
        </is>
      </c>
      <c r="K8" s="35" t="inlineStr">
        <is>
          <t>Content</t>
        </is>
      </c>
      <c r="L8" s="35" t="inlineStr">
        <is>
          <t>Contacted</t>
        </is>
      </c>
    </row>
    <row r="9">
      <c r="B9" s="17" t="inlineStr">
        <is>
          <t>Currency</t>
        </is>
      </c>
      <c r="C9" s="69" t="inlineStr">
        <is>
          <t>USD</t>
        </is>
      </c>
      <c r="E9" s="35" t="inlineStr">
        <is>
          <t>Instagram</t>
        </is>
      </c>
      <c r="F9" s="35" t="inlineStr">
        <is>
          <t>Reel</t>
        </is>
      </c>
      <c r="G9" s="35" t="inlineStr">
        <is>
          <t>Review</t>
        </is>
      </c>
      <c r="H9" s="35" t="inlineStr">
        <is>
          <t>Ad Revenue</t>
        </is>
      </c>
      <c r="I9" s="35" t="inlineStr">
        <is>
          <t>Lighting</t>
        </is>
      </c>
      <c r="J9" s="35" t="inlineStr">
        <is>
          <t>Product Launch</t>
        </is>
      </c>
      <c r="K9" s="35" t="inlineStr">
        <is>
          <t>Audience</t>
        </is>
      </c>
      <c r="L9" s="35" t="inlineStr">
        <is>
          <t>Negotiating</t>
        </is>
      </c>
    </row>
    <row r="10">
      <c r="B10" s="17" t="inlineStr">
        <is>
          <t>Monthly Revenue Goal</t>
        </is>
      </c>
      <c r="C10" s="37" t="n">
        <v>10000</v>
      </c>
      <c r="E10" s="35" t="inlineStr">
        <is>
          <t>IG Reels</t>
        </is>
      </c>
      <c r="F10" s="35" t="inlineStr">
        <is>
          <t>Carousel</t>
        </is>
      </c>
      <c r="G10" s="35" t="inlineStr">
        <is>
          <t>Scheduled</t>
        </is>
      </c>
      <c r="H10" s="35" t="inlineStr">
        <is>
          <t>Digital Products</t>
        </is>
      </c>
      <c r="I10" s="35" t="inlineStr">
        <is>
          <t>Microphones</t>
        </is>
      </c>
      <c r="J10" s="35" t="inlineStr">
        <is>
          <t>Organic</t>
        </is>
      </c>
      <c r="K10" s="35" t="inlineStr">
        <is>
          <t>Revenue</t>
        </is>
      </c>
      <c r="L10" s="35" t="inlineStr">
        <is>
          <t>Signed</t>
        </is>
      </c>
    </row>
    <row r="11">
      <c r="B11" s="17" t="inlineStr">
        <is>
          <t>Monthly Content Goal</t>
        </is>
      </c>
      <c r="C11" s="70" t="n">
        <v>16</v>
      </c>
      <c r="E11" s="35" t="inlineStr">
        <is>
          <t>IG Stories</t>
        </is>
      </c>
      <c r="F11" s="35" t="inlineStr">
        <is>
          <t>Story</t>
        </is>
      </c>
      <c r="G11" s="35" t="inlineStr">
        <is>
          <t>Published</t>
        </is>
      </c>
      <c r="H11" s="35" t="inlineStr">
        <is>
          <t>Memberships</t>
        </is>
      </c>
      <c r="I11" s="35" t="inlineStr">
        <is>
          <t>Editing Tools</t>
        </is>
      </c>
      <c r="J11" s="35" t="inlineStr">
        <is>
          <t>Series</t>
        </is>
      </c>
      <c r="K11" s="35" t="inlineStr">
        <is>
          <t>Platform</t>
        </is>
      </c>
      <c r="L11" s="35" t="inlineStr">
        <is>
          <t>Delivered</t>
        </is>
      </c>
    </row>
    <row r="12">
      <c r="B12" s="17" t="inlineStr">
        <is>
          <t>Active Deal Target</t>
        </is>
      </c>
      <c r="C12" s="70" t="n">
        <v>6</v>
      </c>
      <c r="E12" s="35" t="inlineStr">
        <is>
          <t>Facebook</t>
        </is>
      </c>
      <c r="F12" s="35" t="inlineStr">
        <is>
          <t>Post</t>
        </is>
      </c>
      <c r="G12" s="35" t="inlineStr">
        <is>
          <t>Repurposed</t>
        </is>
      </c>
      <c r="H12" s="35" t="inlineStr">
        <is>
          <t>Courses</t>
        </is>
      </c>
      <c r="I12" s="35" t="inlineStr">
        <is>
          <t>Marketing</t>
        </is>
      </c>
      <c r="J12" s="35" t="inlineStr">
        <is>
          <t>Collab</t>
        </is>
      </c>
      <c r="K12" s="35" t="inlineStr">
        <is>
          <t>Personal</t>
        </is>
      </c>
      <c r="L12" s="35" t="inlineStr">
        <is>
          <t>Paid</t>
        </is>
      </c>
    </row>
    <row r="13">
      <c r="B13" s="17" t="inlineStr">
        <is>
          <t>Profit Margin Target</t>
        </is>
      </c>
      <c r="C13" s="48" t="n">
        <v>0.6</v>
      </c>
      <c r="E13" s="35" t="inlineStr">
        <is>
          <t>X</t>
        </is>
      </c>
      <c r="F13" s="35" t="inlineStr">
        <is>
          <t>Newsletter</t>
        </is>
      </c>
      <c r="H13" s="35" t="inlineStr">
        <is>
          <t>Consulting</t>
        </is>
      </c>
      <c r="I13" s="35" t="inlineStr">
        <is>
          <t>Contractors</t>
        </is>
      </c>
      <c r="L13" s="35" t="inlineStr">
        <is>
          <t>Follow-Up</t>
        </is>
      </c>
    </row>
    <row r="14">
      <c r="E14" s="35" t="inlineStr">
        <is>
          <t>Threads</t>
        </is>
      </c>
      <c r="F14" s="35" t="inlineStr">
        <is>
          <t>Podcast</t>
        </is>
      </c>
      <c r="H14" s="35" t="inlineStr">
        <is>
          <t>Merchandise</t>
        </is>
      </c>
      <c r="I14" s="35" t="inlineStr">
        <is>
          <t>Travel</t>
        </is>
      </c>
    </row>
    <row r="15">
      <c r="E15" s="35" t="inlineStr">
        <is>
          <t>Pinterest</t>
        </is>
      </c>
      <c r="F15" s="35" t="inlineStr">
        <is>
          <t>Blog</t>
        </is>
      </c>
      <c r="H15" s="35" t="inlineStr">
        <is>
          <t>Donations</t>
        </is>
      </c>
      <c r="I15" s="35" t="inlineStr">
        <is>
          <t>Education</t>
        </is>
      </c>
    </row>
    <row r="16">
      <c r="E16" s="35" t="inlineStr">
        <is>
          <t>LinkedIn</t>
        </is>
      </c>
      <c r="F16" s="35" t="inlineStr">
        <is>
          <t>Live</t>
        </is>
      </c>
      <c r="H16" s="35" t="inlineStr">
        <is>
          <t>Freelance</t>
        </is>
      </c>
      <c r="I16" s="35" t="inlineStr">
        <is>
          <t>Office</t>
        </is>
      </c>
    </row>
    <row r="17">
      <c r="E17" s="35" t="inlineStr">
        <is>
          <t>Newsletter</t>
        </is>
      </c>
      <c r="I17" s="35" t="inlineStr">
        <is>
          <t>Miscellaneous</t>
        </is>
      </c>
    </row>
    <row r="18">
      <c r="E18" s="35" t="inlineStr">
        <is>
          <t>Podcast</t>
        </is>
      </c>
    </row>
    <row r="19">
      <c r="E19" s="35" t="inlineStr">
        <is>
          <t>Blog</t>
        </is>
      </c>
    </row>
    <row r="21">
      <c r="E21" s="7" t="inlineStr">
        <is>
          <t>Priority</t>
        </is>
      </c>
      <c r="F21" s="7" t="inlineStr">
        <is>
          <t>Invoice Status</t>
        </is>
      </c>
      <c r="G21" s="7" t="inlineStr">
        <is>
          <t>Yes / No</t>
        </is>
      </c>
    </row>
    <row r="22">
      <c r="E22" s="35" t="inlineStr">
        <is>
          <t>High</t>
        </is>
      </c>
      <c r="F22" s="35" t="inlineStr">
        <is>
          <t>Not Sent</t>
        </is>
      </c>
      <c r="G22" s="35" t="inlineStr">
        <is>
          <t>Yes</t>
        </is>
      </c>
    </row>
    <row r="23">
      <c r="E23" s="35" t="inlineStr">
        <is>
          <t>Medium</t>
        </is>
      </c>
      <c r="F23" s="35" t="inlineStr">
        <is>
          <t>Sent</t>
        </is>
      </c>
      <c r="G23" s="35" t="inlineStr">
        <is>
          <t>No</t>
        </is>
      </c>
    </row>
    <row r="24">
      <c r="E24" s="35" t="inlineStr">
        <is>
          <t>Low</t>
        </is>
      </c>
      <c r="F24" s="35" t="inlineStr">
        <is>
          <t>Paid</t>
        </is>
      </c>
    </row>
    <row r="25">
      <c r="F25" s="35" t="inlineStr">
        <is>
          <t>Overdue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2026-07-03T17:47:21Z</dcterms:created>
  <dcterms:modified xsi:type="dcterms:W3CDTF">2026-07-03T17:47:21Z</dcterms:modified>
</cp:coreProperties>
</file>