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Price It Right" sheetId="3" state="visible" r:id="rId3"/>
    <sheet name="Recipe Costing" sheetId="4" state="visible" r:id="rId4"/>
    <sheet name="Product List" sheetId="5" state="visible" r:id="rId5"/>
    <sheet name="Custom Orders" sheetId="6" state="visible" r:id="rId6"/>
    <sheet name="Ingredient Costs" sheetId="7" state="visible" r:id="rId7"/>
    <sheet name="Labeling &amp; Allergens" sheetId="8" state="visible" r:id="rId8"/>
    <sheet name="Markets &amp; Events" sheetId="9" state="visible" r:id="rId9"/>
    <sheet name="Income &amp; Expenses" sheetId="10" state="visible" r:id="rId10"/>
    <sheet name="Waste Log" sheetId="11" state="visible" r:id="rId11"/>
    <sheet name="Customers" sheetId="12" state="visible" r:id="rId12"/>
    <sheet name="Monthly Summary" sheetId="13" state="visible" r:id="rId13"/>
    <sheet name="Settings" sheetId="14" state="visible" r:id="rId14"/>
  </sheets>
  <definedNames>
    <definedName name="Bakery">Settings!$C$6</definedName>
    <definedName name="Owner">Settings!$C$7</definedName>
    <definedName name="TargetFC">Settings!$C$8</definedName>
    <definedName name="MarginGoal">Settings!$C$9</definedName>
    <definedName name="WageGoal">Settings!$C$10</definedName>
    <definedName name="ProfitGoal">Settings!$C$11</definedName>
    <definedName name="WasteLimit">Settings!$C$12</definedName>
    <definedName name="Currency">Settings!$C$13</definedName>
    <definedName name="UnitList">Settings!$E$7:$E$14</definedName>
    <definedName name="StatusList">Settings!$F$7:$F$10</definedName>
    <definedName name="AllergenList">Settings!$G$7:$G$12</definedName>
    <definedName name="YesNoList">Settings!$H$7:$H$8</definedName>
    <definedName name="TrueCost">'Price It Right'!$C$12</definedName>
    <definedName name="EffHourly">'Price It Right'!$C$16</definedName>
    <definedName name="BatchCost">'Recipe Costing'!$C$13</definedName>
    <definedName name="ProdItem">'Product List'!$B$5:$B$12</definedName>
    <definedName name="ProdCost">'Product List'!$C$5:$C$12</definedName>
    <definedName name="ProdPrice">'Product List'!$D$5:$D$12</definedName>
    <definedName name="ProdMargin">'Product List'!$E$5:$E$12</definedName>
    <definedName name="ProdUnits">'Product List'!$F$5:$F$12</definedName>
    <definedName name="ProdRev">'Product List'!$G$5:$G$12</definedName>
    <definedName name="MonthlyIncome">'Product List'!$G$14</definedName>
    <definedName name="FoodCostPct">'Product List'!$G$15</definedName>
    <definedName name="OrderCust">'Custom Orders'!$B$5:$B$9</definedName>
    <definedName name="OrderPrice">'Custom Orders'!$E$5:$E$9</definedName>
    <definedName name="OrderStatus">'Custom Orders'!$G$5:$G$9</definedName>
    <definedName name="OrderValue">'Custom Orders'!$E$10</definedName>
    <definedName name="TotalIncome">'Income &amp; Expenses'!$C$6</definedName>
    <definedName name="ExpAmt">'Income &amp; Expenses'!$C$10:$C$15</definedName>
    <definedName name="ExpTotal">'Income &amp; Expenses'!$C$16</definedName>
    <definedName name="NetProfit">'Income &amp; Expenses'!$C$18</definedName>
    <definedName name="WasteCost">'Waste Log'!$D$5:$D$28</definedName>
    <definedName name="WasteTotal">'Waste Log'!$D$29</definedName>
    <definedName name="MonthProfit">'Monthly Summary'!$E$5:$E$10</definedName>
    <definedName name="HealthRange">'Dashboard'!$C$13:$C$18</definedName>
  </definedNames>
  <calcPr calcId="124519" fullCalcOnLoad="1"/>
</workbook>
</file>

<file path=xl/styles.xml><?xml version="1.0" encoding="utf-8"?>
<styleSheet xmlns="http://schemas.openxmlformats.org/spreadsheetml/2006/main">
  <numFmts count="4">
    <numFmt numFmtId="164" formatCode="&quot;$&quot;#,##0"/>
    <numFmt numFmtId="165" formatCode="&quot;$&quot;#,##0.00"/>
    <numFmt numFmtId="166" formatCode="yyyy-mm-dd"/>
    <numFmt numFmtId="167" formatCode="mm/dd"/>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1B4F48"/>
      <sz val="13"/>
    </font>
    <font>
      <b val="1"/>
      <color rgb="00C94C4C"/>
    </font>
    <font>
      <b val="1"/>
      <color rgb="00937356"/>
      <sz val="9"/>
    </font>
    <font>
      <b val="1"/>
      <color rgb="001B4F48"/>
      <sz val="18"/>
    </font>
    <font>
      <b val="1"/>
      <color rgb="001B4F48"/>
      <sz val="12"/>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56">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3" fillId="9" borderId="3" applyAlignment="1" pivotButton="0" quotePrefix="0" xfId="0">
      <alignment horizontal="center" vertical="center"/>
    </xf>
    <xf numFmtId="0" fontId="0" fillId="9" borderId="3" pivotButton="0" quotePrefix="0" xfId="0"/>
    <xf numFmtId="3" fontId="14" fillId="9" borderId="2" applyAlignment="1" pivotButton="0" quotePrefix="0" xfId="0">
      <alignment horizontal="center" vertical="center"/>
    </xf>
    <xf numFmtId="0" fontId="0" fillId="9" borderId="2" pivotButton="0" quotePrefix="0" xfId="0"/>
    <xf numFmtId="165" fontId="14" fillId="9" borderId="2" applyAlignment="1" pivotButton="0" quotePrefix="0" xfId="0">
      <alignment horizontal="center" vertical="center"/>
    </xf>
    <xf numFmtId="9" fontId="14" fillId="9" borderId="2" applyAlignment="1" pivotButton="0" quotePrefix="0" xfId="0">
      <alignment horizontal="center" vertical="center"/>
    </xf>
    <xf numFmtId="164" fontId="14" fillId="9" borderId="2" applyAlignment="1" pivotButton="0" quotePrefix="0" xfId="0">
      <alignment horizontal="center" vertical="center"/>
    </xf>
    <xf numFmtId="0" fontId="15"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165" fontId="7" fillId="3" borderId="2" applyAlignment="1" pivotButton="0" quotePrefix="0" xfId="8">
      <alignment horizontal="center" vertical="center"/>
    </xf>
    <xf numFmtId="165" fontId="7" fillId="8" borderId="2" applyAlignment="1" pivotButton="0" quotePrefix="0" xfId="8">
      <alignment horizontal="center" vertical="center"/>
    </xf>
    <xf numFmtId="3" fontId="7" fillId="3" borderId="2" applyAlignment="1" pivotButton="0" quotePrefix="0" xfId="8">
      <alignment horizontal="center" vertical="center"/>
    </xf>
    <xf numFmtId="164" fontId="7" fillId="8" borderId="2" applyAlignment="1" pivotButton="0" quotePrefix="0" xfId="8">
      <alignment horizontal="center" vertical="center"/>
    </xf>
    <xf numFmtId="165" fontId="6" fillId="0" borderId="2" applyAlignment="1" pivotButton="0" quotePrefix="0" xfId="6">
      <alignment horizontal="center" vertical="center" wrapText="1"/>
    </xf>
    <xf numFmtId="165" fontId="10" fillId="3" borderId="2" applyAlignment="1" pivotButton="0" quotePrefix="0" xfId="6">
      <alignment horizontal="center" vertical="center" wrapText="1"/>
    </xf>
    <xf numFmtId="164" fontId="7" fillId="3" borderId="2" applyAlignment="1" pivotButton="0" quotePrefix="0" xfId="8">
      <alignment horizontal="center" vertical="center"/>
    </xf>
    <xf numFmtId="0" fontId="8" fillId="4" borderId="2" applyAlignment="1" pivotButton="0" quotePrefix="0" xfId="9">
      <alignment horizontal="left" vertical="center" indent="1"/>
    </xf>
    <xf numFmtId="165" fontId="7" fillId="6" borderId="2" applyAlignment="1" pivotButton="0" quotePrefix="0" xfId="10">
      <alignment horizontal="left" vertical="center" indent="1"/>
    </xf>
    <xf numFmtId="165" fontId="11" fillId="6" borderId="2" applyAlignment="1" pivotButton="0" quotePrefix="0" xfId="6">
      <alignment horizontal="center" vertical="center" wrapText="1"/>
    </xf>
    <xf numFmtId="0" fontId="10" fillId="0" borderId="0" pivotButton="0" quotePrefix="0" xfId="0"/>
    <xf numFmtId="164" fontId="10" fillId="0" borderId="2" applyAlignment="1" pivotButton="0" quotePrefix="0" xfId="6">
      <alignment horizontal="center" vertical="center" wrapText="1"/>
    </xf>
    <xf numFmtId="3" fontId="7" fillId="8" borderId="2" applyAlignment="1" pivotButton="0" quotePrefix="0" xfId="8">
      <alignment horizontal="center" vertical="center"/>
    </xf>
    <xf numFmtId="164" fontId="10" fillId="8" borderId="2" applyAlignment="1" pivotButton="0" quotePrefix="0" xfId="6">
      <alignment horizontal="center" vertical="center" wrapText="1"/>
    </xf>
    <xf numFmtId="164" fontId="7" fillId="6" borderId="2" applyAlignment="1" pivotButton="0" quotePrefix="0" xfId="10">
      <alignment horizontal="left" vertical="center" indent="1"/>
    </xf>
    <xf numFmtId="9" fontId="7" fillId="6" borderId="2" applyAlignment="1" pivotButton="0" quotePrefix="0" xfId="10">
      <alignment horizontal="left" vertical="center" indent="1"/>
    </xf>
    <xf numFmtId="167" fontId="7" fillId="3" borderId="2" applyAlignment="1" pivotButton="0" quotePrefix="0" xfId="8">
      <alignment horizontal="center" vertical="center"/>
    </xf>
    <xf numFmtId="167" fontId="7" fillId="8" borderId="2" applyAlignment="1" pivotButton="0" quotePrefix="0" xfId="8">
      <alignment horizontal="center" vertical="center"/>
    </xf>
    <xf numFmtId="0" fontId="6" fillId="3" borderId="2" applyAlignment="1" pivotButton="0" quotePrefix="0" xfId="6">
      <alignment horizontal="center" vertical="center" wrapText="1"/>
    </xf>
    <xf numFmtId="164" fontId="10" fillId="6" borderId="2" applyAlignment="1" pivotButton="0" quotePrefix="0" xfId="6">
      <alignment horizontal="center" vertical="center" wrapText="1"/>
    </xf>
    <xf numFmtId="0" fontId="6" fillId="9" borderId="2" applyAlignment="1" pivotButton="0" quotePrefix="0" xfId="7">
      <alignment horizontal="left" vertical="center" wrapText="1" indent="1"/>
    </xf>
    <xf numFmtId="165"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165" fontId="6" fillId="8" borderId="2" applyAlignment="1" pivotButton="0" quotePrefix="0" xfId="6">
      <alignment horizontal="center" vertical="center" wrapText="1"/>
    </xf>
    <xf numFmtId="164" fontId="10" fillId="3" borderId="2" applyAlignment="1" pivotButton="0" quotePrefix="0" xfId="6">
      <alignment horizontal="center" vertical="center" wrapText="1"/>
    </xf>
    <xf numFmtId="164" fontId="12" fillId="3" borderId="2" applyAlignment="1" pivotButton="0" quotePrefix="0" xfId="6">
      <alignment horizontal="center" vertical="center" wrapText="1"/>
    </xf>
    <xf numFmtId="164" fontId="11" fillId="6" borderId="2" applyAlignment="1" pivotButton="0" quotePrefix="0" xfId="6">
      <alignment horizontal="center" vertical="center" wrapText="1"/>
    </xf>
    <xf numFmtId="165" fontId="12" fillId="3" borderId="2" applyAlignment="1" pivotButton="0" quotePrefix="0" xfId="6">
      <alignment horizontal="center" vertical="center" wrapText="1"/>
    </xf>
    <xf numFmtId="0" fontId="7" fillId="3" borderId="2" applyAlignment="1" pivotButton="0" quotePrefix="0" xfId="8">
      <alignment horizontal="center" vertical="center"/>
    </xf>
    <xf numFmtId="9"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4">
    <dxf>
      <fill>
        <patternFill patternType="solid">
          <fgColor rgb="00E3F8EF"/>
        </patternFill>
      </fill>
    </dxf>
    <dxf>
      <fill>
        <patternFill patternType="solid">
          <fgColor rgb="00FBF0E2"/>
        </patternFill>
      </fill>
    </dxf>
    <dxf>
      <fill>
        <patternFill patternType="solid">
          <fgColor rgb="00FBE6E6"/>
        </patternFill>
      </fill>
    </dxf>
    <dxf>
      <fill>
        <patternFill patternType="solid">
          <fgColor rgb="00E5D3B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Profit by Month</a:t>
            </a:r>
          </a:p>
        </rich>
      </tx>
    </title>
    <plotArea>
      <barChart>
        <barDir val="col"/>
        <grouping val="clustered"/>
        <ser>
          <idx val="0"/>
          <order val="0"/>
          <spPr>
            <a:ln>
              <a:prstDash val="solid"/>
            </a:ln>
          </spPr>
          <cat>
            <numRef>
              <f>'Monthly Summary'!$B$5:$B$10</f>
            </numRef>
          </cat>
          <val>
            <numRef>
              <f>'Monthly Summary'!$E$5:$E$10</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Profit by Month</a:t>
            </a:r>
          </a:p>
        </rich>
      </tx>
    </title>
    <plotArea>
      <barChart>
        <barDir val="col"/>
        <grouping val="clustered"/>
        <ser>
          <idx val="0"/>
          <order val="0"/>
          <spPr>
            <a:ln>
              <a:prstDash val="solid"/>
            </a:ln>
          </spPr>
          <cat>
            <numRef>
              <f>'Monthly Summary'!$B$5:$B$10</f>
            </numRef>
          </cat>
          <val>
            <numRef>
              <f>'Monthly Summary'!$E$5:$E$10</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HOME BAKERY &amp; COTTAGE FOOD COMMAND CENTER™</t>
        </is>
      </c>
    </row>
    <row r="2" ht="24" customHeight="1">
      <c r="A2" s="2" t="inlineStr">
        <is>
          <t xml:space="preserve">  Cost every recipe and pay yourself for your time.</t>
        </is>
      </c>
    </row>
    <row r="3" ht="6" customHeight="1">
      <c r="A3" s="3" t="n"/>
      <c r="B3" s="3" t="n"/>
      <c r="C3" s="3" t="n"/>
    </row>
    <row r="5">
      <c r="B5" s="4" t="inlineStr">
        <is>
          <t>YOUR WHOLE HOME BAKERY, IN ONE PLACE</t>
        </is>
      </c>
    </row>
    <row r="6" ht="22" customHeight="1">
      <c r="B6" s="5" t="inlineStr">
        <is>
          <t>Home bakers undercharge more than anyone — because they forget to pay themselves for their time. This fixes that: a 'price it right' engine that adds your ingredients, packaging, YOUR labor and overhead, then shows your profit and your true hourly wage. Cost your recipes, price your products, manage custom orders, track ingredient costs, build cottage-food labels with allergens, log markets, and keep income &amp; expenses for taxes — all in ONE premium Google Sheets &amp; Excel system built for home &amp; cottage bakers.</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hourly-wage goal &amp; margin goal.</t>
        </is>
      </c>
    </row>
    <row r="13" ht="22" customHeight="1">
      <c r="B13" s="8" t="inlineStr">
        <is>
          <t>2.  Use Price It Right — it pays you for your time on every item.</t>
        </is>
      </c>
    </row>
    <row r="14" ht="22" customHeight="1">
      <c r="B14" s="8" t="inlineStr">
        <is>
          <t>3.  Cost recipes &amp; set prices in the Product List.</t>
        </is>
      </c>
    </row>
    <row r="15" ht="22" customHeight="1">
      <c r="B15" s="8" t="inlineStr">
        <is>
          <t>4.  Book Custom Orders; build labels with allergens.</t>
        </is>
      </c>
    </row>
    <row r="16" ht="22" customHeight="1">
      <c r="B16" s="8" t="inlineStr">
        <is>
          <t>5.  Log Markets, Income &amp; Expenses and Waste.</t>
        </is>
      </c>
    </row>
    <row r="17" ht="22" customHeight="1">
      <c r="B17" s="8" t="inlineStr">
        <is>
          <t>6.  Check the Dashboard: income, profit &amp; a Bakery Score.</t>
        </is>
      </c>
    </row>
    <row r="20" ht="26" customHeight="1">
      <c r="B20" s="9" t="inlineStr">
        <is>
          <t xml:space="preserve">  GOOD TO KNOW</t>
        </is>
      </c>
    </row>
    <row r="21" ht="22" customHeight="1">
      <c r="B21" s="10" t="inlineStr">
        <is>
          <t>Sample data for a fictional home bakery (Sugar &amp; Thyme) is included so you can see how it all connects — just type over it with your own recipes and prices. Your effective hourly wage and monthly profit are the two numbers that decide whether your bakery is a business or an expensive hobby, and they roll into a live Bakery Score. Twelve matching printable pages (order form, cottage-food label, recipe cost card, market checklist &amp; more) are included. This is a business tool, not financial, legal or cottage-food-law advice — check your state's cottage food rules and confirm figures with your own advisors.</t>
        </is>
      </c>
    </row>
    <row r="22" ht="22" customHeight="1">
      <c r="B22" s="11" t="n"/>
    </row>
    <row r="23" ht="22" customHeight="1">
      <c r="B23" s="11" t="n"/>
    </row>
    <row r="25">
      <c r="B25" s="4" t="inlineStr">
        <is>
          <t>If you're not paying yourself, it's a hobby — this makes it a business.</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HOME BAKERY &amp; COTTAGE FOOD COMMAND CENTER™</t>
        </is>
      </c>
    </row>
    <row r="2" ht="24" customHeight="1">
      <c r="A2" s="2" t="inlineStr">
        <is>
          <t xml:space="preserve">  Income, profit, your hourly wage &amp; a Bakery Score — your whole home bakery, at a glance.</t>
        </is>
      </c>
    </row>
    <row r="3" ht="6" customHeight="1">
      <c r="A3" s="3" t="n"/>
      <c r="B3" s="3" t="n"/>
      <c r="C3" s="3" t="n"/>
      <c r="D3" s="3" t="n"/>
      <c r="E3" s="3" t="n"/>
      <c r="F3" s="3" t="n"/>
      <c r="G3" s="3" t="n"/>
      <c r="H3" s="3" t="n"/>
      <c r="I3" s="3" t="n"/>
      <c r="J3" s="3" t="n"/>
      <c r="K3" s="3" t="n"/>
      <c r="L3" s="3" t="n"/>
      <c r="M3" s="3" t="n"/>
      <c r="N3" s="3" t="n"/>
    </row>
    <row r="5" ht="18" customHeight="1">
      <c r="B5" s="12" t="inlineStr">
        <is>
          <t>PRODUCTS</t>
        </is>
      </c>
      <c r="C5" s="13" t="n"/>
      <c r="D5" s="12" t="inlineStr">
        <is>
          <t>AVG PRICE</t>
        </is>
      </c>
      <c r="E5" s="13" t="n"/>
      <c r="F5" s="12" t="inlineStr">
        <is>
          <t>FOOD COST</t>
        </is>
      </c>
      <c r="G5" s="13" t="n"/>
      <c r="H5" s="12" t="inlineStr">
        <is>
          <t>AVG MARGIN</t>
        </is>
      </c>
      <c r="I5" s="13" t="n"/>
      <c r="J5" s="12" t="inlineStr">
        <is>
          <t>MONTHLY INCOME</t>
        </is>
      </c>
      <c r="K5" s="13" t="n"/>
      <c r="L5" s="12" t="inlineStr">
        <is>
          <t>TOP SELLER</t>
        </is>
      </c>
      <c r="M5" s="13" t="n"/>
    </row>
    <row r="6" ht="40" customHeight="1">
      <c r="B6" s="14">
        <f>COUNTA(ProdItem)</f>
        <v/>
      </c>
      <c r="C6" s="15" t="n"/>
      <c r="D6" s="16">
        <f>AVERAGE(ProdPrice)</f>
        <v/>
      </c>
      <c r="E6" s="15" t="n"/>
      <c r="F6" s="17">
        <f>FoodCostPct</f>
        <v/>
      </c>
      <c r="G6" s="15" t="n"/>
      <c r="H6" s="17">
        <f>AVERAGE(ProdMargin)</f>
        <v/>
      </c>
      <c r="I6" s="15" t="n"/>
      <c r="J6" s="18">
        <f>MonthlyIncome</f>
        <v/>
      </c>
      <c r="K6" s="15" t="n"/>
      <c r="L6" s="19">
        <f>INDEX(ProdItem,MATCH(MAX(ProdRev),ProdRev,0))</f>
        <v/>
      </c>
      <c r="M6" s="15" t="n"/>
    </row>
    <row r="8" ht="18" customHeight="1">
      <c r="B8" s="12" t="inlineStr">
        <is>
          <t>MONTHLY PROFIT</t>
        </is>
      </c>
      <c r="C8" s="13" t="n"/>
      <c r="D8" s="12" t="inlineStr">
        <is>
          <t>YOUR HOURLY</t>
        </is>
      </c>
      <c r="E8" s="13" t="n"/>
      <c r="F8" s="12" t="inlineStr">
        <is>
          <t>OPEN ORDERS</t>
        </is>
      </c>
      <c r="G8" s="13" t="n"/>
      <c r="H8" s="12" t="inlineStr">
        <is>
          <t>ORDER VALUE</t>
        </is>
      </c>
      <c r="I8" s="13" t="n"/>
      <c r="J8" s="12" t="inlineStr">
        <is>
          <t>MONTHLY UNITS</t>
        </is>
      </c>
      <c r="K8" s="13" t="n"/>
      <c r="L8" s="12" t="inlineStr">
        <is>
          <t>BAKERY SCORE</t>
        </is>
      </c>
      <c r="M8" s="13" t="n"/>
    </row>
    <row r="9" ht="40" customHeight="1">
      <c r="B9" s="18">
        <f>NetProfit</f>
        <v/>
      </c>
      <c r="C9" s="15" t="n"/>
      <c r="D9" s="16">
        <f>EffHourly</f>
        <v/>
      </c>
      <c r="E9" s="15" t="n"/>
      <c r="F9" s="14">
        <f>COUNTIF(OrderStatus,"&lt;&gt;Delivered")</f>
        <v/>
      </c>
      <c r="G9" s="15" t="n"/>
      <c r="H9" s="18">
        <f>OrderValue</f>
        <v/>
      </c>
      <c r="I9" s="15" t="n"/>
      <c r="J9" s="14">
        <f>SUM(ProdUnits)</f>
        <v/>
      </c>
      <c r="K9" s="15" t="n"/>
      <c r="L9" s="17">
        <f>IFERROR(AVERAGE(HealthRange),0)</f>
        <v/>
      </c>
      <c r="M9" s="15" t="n"/>
    </row>
    <row r="11" ht="26" customHeight="1">
      <c r="B11" s="4" t="inlineStr">
        <is>
          <t>BAKERY HEALTH</t>
        </is>
      </c>
      <c r="H11" s="4" t="inlineStr">
        <is>
          <t>PROFIT BY MONTH</t>
        </is>
      </c>
    </row>
    <row r="12" ht="30" customHeight="1">
      <c r="B12" s="9" t="inlineStr">
        <is>
          <t>Check</t>
        </is>
      </c>
      <c r="C12" s="9" t="inlineStr">
        <is>
          <t>Score</t>
        </is>
      </c>
      <c r="D12" s="9" t="inlineStr">
        <is>
          <t>Status</t>
        </is>
      </c>
    </row>
    <row r="13">
      <c r="B13" s="20" t="inlineStr">
        <is>
          <t>Food cost on target</t>
        </is>
      </c>
      <c r="C13" s="21">
        <f>IFERROR(MIN(TargetFC/FoodCostPct,1),0)</f>
        <v/>
      </c>
      <c r="D13" s="22">
        <f>IF(C13&gt;=0.85,"Strong",IF(C13&gt;=0.6,"OK","Watch"))</f>
        <v/>
      </c>
    </row>
    <row r="14">
      <c r="B14" s="23" t="inlineStr">
        <is>
          <t>Margins healthy</t>
        </is>
      </c>
      <c r="C14" s="24">
        <f>IFERROR(MIN(AVERAGE(ProdMargin)/MarginGoal,1),0)</f>
        <v/>
      </c>
      <c r="D14" s="25">
        <f>IF(C14&gt;=0.85,"Strong",IF(C14&gt;=0.6,"OK","Watch"))</f>
        <v/>
      </c>
    </row>
    <row r="15">
      <c r="B15" s="20" t="inlineStr">
        <is>
          <t>Products priced</t>
        </is>
      </c>
      <c r="C15" s="21">
        <f>IFERROR(COUNTIF(ProdPrice,"&gt;0")/COUNTA(ProdItem),0)</f>
        <v/>
      </c>
      <c r="D15" s="22">
        <f>IF(C15&gt;=0.85,"Strong",IF(C15&gt;=0.6,"OK","Watch"))</f>
        <v/>
      </c>
    </row>
    <row r="16">
      <c r="B16" s="23" t="inlineStr">
        <is>
          <t>Paying yourself</t>
        </is>
      </c>
      <c r="C16" s="24">
        <f>IFERROR(MIN(EffHourly/WageGoal,1),0)</f>
        <v/>
      </c>
      <c r="D16" s="25">
        <f>IF(C16&gt;=0.85,"Strong",IF(C16&gt;=0.6,"OK","Watch"))</f>
        <v/>
      </c>
    </row>
    <row r="17">
      <c r="B17" s="20" t="inlineStr">
        <is>
          <t>Profitable</t>
        </is>
      </c>
      <c r="C17" s="21">
        <f>IFERROR(MIN(NetProfit/ProfitGoal,1),0)</f>
        <v/>
      </c>
      <c r="D17" s="22">
        <f>IF(C17&gt;=0.85,"Strong",IF(C17&gt;=0.6,"OK","Watch"))</f>
        <v/>
      </c>
    </row>
    <row r="18">
      <c r="B18" s="23" t="inlineStr">
        <is>
          <t>Waste low</t>
        </is>
      </c>
      <c r="C18" s="24">
        <f>IFERROR(1-MIN((WasteTotal/MonthlyIncome)/WasteLimit,1),0)</f>
        <v/>
      </c>
      <c r="D18" s="25">
        <f>IF(C18&gt;=0.85,"Strong",IF(C18&gt;=0.6,"OK","Watch"))</f>
        <v/>
      </c>
    </row>
    <row r="21" ht="26" customHeight="1">
      <c r="B21" s="2" t="inlineStr">
        <is>
          <t>Home Bakery &amp; Cottage Food Command Center™ — cost every recipe, and pay yourself.</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min="1" max="1"/>
    <col width="34" customWidth="1" min="2" max="2"/>
    <col width="16" customWidth="1" min="3" max="3"/>
    <col width="2" customWidth="1" min="4" max="4"/>
  </cols>
  <sheetData>
    <row r="1" ht="46" customHeight="1">
      <c r="A1" s="1" t="inlineStr">
        <is>
          <t xml:space="preserve">  💷  PRICE IT RIGHT</t>
        </is>
      </c>
    </row>
    <row r="2" ht="22" customHeight="1">
      <c r="A2" s="2" t="inlineStr">
        <is>
          <t xml:space="preserve">  Ingredients + packaging + YOUR time + overhead = true cost. See your profit and your real hourly wage.</t>
        </is>
      </c>
    </row>
    <row r="3" ht="6" customHeight="1">
      <c r="A3" s="3" t="n"/>
      <c r="B3" s="3" t="n"/>
      <c r="C3" s="3" t="n"/>
    </row>
    <row r="5" ht="30" customHeight="1">
      <c r="B5" s="9" t="inlineStr">
        <is>
          <t>Line</t>
        </is>
      </c>
      <c r="C5" s="9" t="inlineStr">
        <is>
          <t>Amount</t>
        </is>
      </c>
    </row>
    <row r="6">
      <c r="B6" s="20" t="inlineStr">
        <is>
          <t>Ingredient cost</t>
        </is>
      </c>
      <c r="C6" s="26" t="n">
        <v>6</v>
      </c>
    </row>
    <row r="7">
      <c r="B7" s="23" t="inlineStr">
        <is>
          <t>Packaging</t>
        </is>
      </c>
      <c r="C7" s="27" t="n">
        <v>1.5</v>
      </c>
    </row>
    <row r="8">
      <c r="B8" s="20" t="inlineStr">
        <is>
          <t>Time to make (minutes)</t>
        </is>
      </c>
      <c r="C8" s="28" t="n">
        <v>45</v>
      </c>
    </row>
    <row r="9">
      <c r="B9" s="23" t="inlineStr">
        <is>
          <t>Your hourly rate</t>
        </is>
      </c>
      <c r="C9" s="29" t="n">
        <v>20</v>
      </c>
    </row>
    <row r="10">
      <c r="B10" s="20" t="inlineStr">
        <is>
          <t>Overhead / item</t>
        </is>
      </c>
      <c r="C10" s="26" t="n">
        <v>1</v>
      </c>
    </row>
    <row r="11">
      <c r="B11" s="20">
        <f> Your labor (time × rate)</f>
        <v/>
      </c>
      <c r="C11" s="30">
        <f>C8/60*C9</f>
        <v/>
      </c>
    </row>
    <row r="12">
      <c r="B12" s="9">
        <f> TRUE COST (with your time)</f>
        <v/>
      </c>
      <c r="C12" s="31">
        <f>C6+C7+C11+C10</f>
        <v/>
      </c>
    </row>
    <row r="14">
      <c r="B14" s="20" t="inlineStr">
        <is>
          <t>Your price</t>
        </is>
      </c>
      <c r="C14" s="32" t="n">
        <v>33</v>
      </c>
    </row>
    <row r="15">
      <c r="B15" s="33" t="inlineStr">
        <is>
          <t>Profit above your wage</t>
        </is>
      </c>
      <c r="C15" s="34">
        <f>C14-C12</f>
        <v/>
      </c>
    </row>
    <row r="16">
      <c r="B16" s="9">
        <f> YOUR EFFECTIVE HOURLY WAGE</f>
        <v/>
      </c>
      <c r="C16" s="35">
        <f>IFERROR((C14-C6-C7-C10)/(C8/60),0)</f>
        <v/>
      </c>
    </row>
    <row r="18">
      <c r="B18" s="7" t="inlineStr">
        <is>
          <t>If your effective wage is below your goal, raise the price — your time is worth it.</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RECIPE COSTING</t>
        </is>
      </c>
    </row>
    <row r="2" ht="22" customHeight="1">
      <c r="A2" s="2" t="inlineStr">
        <is>
          <t xml:space="preserve">  Cost a batch, divide by yield — the true ingredient cost of each cookie, loaf or slice.</t>
        </is>
      </c>
    </row>
    <row r="3" ht="6" customHeight="1">
      <c r="A3" s="3" t="n"/>
      <c r="B3" s="3" t="n"/>
      <c r="C3" s="3" t="n"/>
    </row>
    <row r="5">
      <c r="B5" s="4" t="inlineStr">
        <is>
          <t>RECIPE</t>
        </is>
      </c>
      <c r="C5" s="36" t="inlineStr">
        <is>
          <t>Choc-Chip Cookies</t>
        </is>
      </c>
    </row>
    <row r="6" ht="30" customHeight="1">
      <c r="B6" s="9" t="inlineStr">
        <is>
          <t>Ingredient</t>
        </is>
      </c>
      <c r="C6" s="9" t="inlineStr">
        <is>
          <t>Cost</t>
        </is>
      </c>
    </row>
    <row r="7">
      <c r="B7" s="20" t="inlineStr">
        <is>
          <t>Flour (3 cups)</t>
        </is>
      </c>
      <c r="C7" s="26" t="n">
        <v>0.9</v>
      </c>
    </row>
    <row r="8">
      <c r="B8" s="23" t="inlineStr">
        <is>
          <t>Butter (1 cup)</t>
        </is>
      </c>
      <c r="C8" s="27" t="n">
        <v>2.2</v>
      </c>
    </row>
    <row r="9">
      <c r="B9" s="20" t="inlineStr">
        <is>
          <t>Sugar (1.5 cups)</t>
        </is>
      </c>
      <c r="C9" s="26" t="n">
        <v>0.85</v>
      </c>
    </row>
    <row r="10">
      <c r="B10" s="23" t="inlineStr">
        <is>
          <t>Eggs (2)</t>
        </is>
      </c>
      <c r="C10" s="27" t="n">
        <v>0.6</v>
      </c>
    </row>
    <row r="11">
      <c r="B11" s="20" t="inlineStr">
        <is>
          <t>Chocolate chips (2 cups)</t>
        </is>
      </c>
      <c r="C11" s="26" t="n">
        <v>3.8</v>
      </c>
    </row>
    <row r="12">
      <c r="B12" s="23" t="inlineStr">
        <is>
          <t>Vanilla + baking soda</t>
        </is>
      </c>
      <c r="C12" s="27" t="n">
        <v>0.65</v>
      </c>
    </row>
    <row r="13">
      <c r="B13" s="9" t="inlineStr">
        <is>
          <t>BATCH COST</t>
        </is>
      </c>
      <c r="C13" s="31">
        <f>SUM(C7:C12)</f>
        <v/>
      </c>
    </row>
    <row r="15">
      <c r="B15" s="33" t="inlineStr">
        <is>
          <t>Yield (24 cookies)</t>
        </is>
      </c>
      <c r="C15" s="28" t="n">
        <v>24</v>
      </c>
    </row>
    <row r="16">
      <c r="B16" s="33" t="inlineStr">
        <is>
          <t>Cost per cookie</t>
        </is>
      </c>
      <c r="C16" s="34">
        <f>IFERROR(BatchCost/C15,0)</f>
        <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2" customWidth="1" min="4" max="4"/>
    <col width="12" customWidth="1" min="5" max="5"/>
    <col width="12" customWidth="1" min="6" max="6"/>
    <col width="14" customWidth="1" min="7" max="7"/>
    <col width="2" customWidth="1" min="8" max="8"/>
  </cols>
  <sheetData>
    <row r="1" ht="46" customHeight="1">
      <c r="A1" s="1" t="inlineStr">
        <is>
          <t xml:space="preserve">  🍰  PRODUCT LIST</t>
        </is>
      </c>
    </row>
    <row r="2" ht="22" customHeight="1">
      <c r="A2" s="2" t="inlineStr">
        <is>
          <t xml:space="preserve">  Ingredient cost, price, margin &amp; monthly revenue on every product — price for profit.</t>
        </is>
      </c>
    </row>
    <row r="3" ht="6" customHeight="1">
      <c r="A3" s="3" t="n"/>
      <c r="B3" s="3" t="n"/>
      <c r="C3" s="3" t="n"/>
      <c r="D3" s="3" t="n"/>
      <c r="E3" s="3" t="n"/>
      <c r="F3" s="3" t="n"/>
      <c r="G3" s="3" t="n"/>
    </row>
    <row r="4" ht="30" customHeight="1">
      <c r="B4" s="9" t="inlineStr">
        <is>
          <t>Product</t>
        </is>
      </c>
      <c r="C4" s="9" t="inlineStr">
        <is>
          <t>Ing. Cost</t>
        </is>
      </c>
      <c r="D4" s="9" t="inlineStr">
        <is>
          <t>Price</t>
        </is>
      </c>
      <c r="E4" s="9" t="inlineStr">
        <is>
          <t>Margin</t>
        </is>
      </c>
      <c r="F4" s="9" t="inlineStr">
        <is>
          <t>Units/mo</t>
        </is>
      </c>
      <c r="G4" s="9" t="inlineStr">
        <is>
          <t>Revenue</t>
        </is>
      </c>
    </row>
    <row r="5">
      <c r="B5" s="20" t="inlineStr">
        <is>
          <t>Custom Cookies (dz)</t>
        </is>
      </c>
      <c r="C5" s="26" t="n">
        <v>6</v>
      </c>
      <c r="D5" s="32" t="n">
        <v>33</v>
      </c>
      <c r="E5" s="21">
        <f>IFERROR((D5-C5)/D5,0)</f>
        <v/>
      </c>
      <c r="F5" s="28" t="n">
        <v>20</v>
      </c>
      <c r="G5" s="37">
        <f>D5*F5</f>
        <v/>
      </c>
    </row>
    <row r="6">
      <c r="B6" s="23" t="inlineStr">
        <is>
          <t>Cupcakes (dz)</t>
        </is>
      </c>
      <c r="C6" s="27" t="n">
        <v>5.5</v>
      </c>
      <c r="D6" s="29" t="n">
        <v>30</v>
      </c>
      <c r="E6" s="24">
        <f>IFERROR((D6-C6)/D6,0)</f>
        <v/>
      </c>
      <c r="F6" s="38" t="n">
        <v>15</v>
      </c>
      <c r="G6" s="39">
        <f>D6*F6</f>
        <v/>
      </c>
    </row>
    <row r="7">
      <c r="B7" s="20" t="inlineStr">
        <is>
          <t>Layer Cake 8"</t>
        </is>
      </c>
      <c r="C7" s="26" t="n">
        <v>9</v>
      </c>
      <c r="D7" s="32" t="n">
        <v>55</v>
      </c>
      <c r="E7" s="21">
        <f>IFERROR((D7-C7)/D7,0)</f>
        <v/>
      </c>
      <c r="F7" s="28" t="n">
        <v>8</v>
      </c>
      <c r="G7" s="37">
        <f>D7*F7</f>
        <v/>
      </c>
    </row>
    <row r="8">
      <c r="B8" s="23" t="inlineStr">
        <is>
          <t>Cinnamon Rolls (6)</t>
        </is>
      </c>
      <c r="C8" s="27" t="n">
        <v>3.2</v>
      </c>
      <c r="D8" s="29" t="n">
        <v>18</v>
      </c>
      <c r="E8" s="24">
        <f>IFERROR((D8-C8)/D8,0)</f>
        <v/>
      </c>
      <c r="F8" s="38" t="n">
        <v>12</v>
      </c>
      <c r="G8" s="39">
        <f>D8*F8</f>
        <v/>
      </c>
    </row>
    <row r="9">
      <c r="B9" s="20" t="inlineStr">
        <is>
          <t>Banana Bread</t>
        </is>
      </c>
      <c r="C9" s="26" t="n">
        <v>2.4</v>
      </c>
      <c r="D9" s="32" t="n">
        <v>12</v>
      </c>
      <c r="E9" s="21">
        <f>IFERROR((D9-C9)/D9,0)</f>
        <v/>
      </c>
      <c r="F9" s="28" t="n">
        <v>25</v>
      </c>
      <c r="G9" s="37">
        <f>D9*F9</f>
        <v/>
      </c>
    </row>
    <row r="10">
      <c r="B10" s="23" t="inlineStr">
        <is>
          <t>Brownies (dz)</t>
        </is>
      </c>
      <c r="C10" s="27" t="n">
        <v>4.1</v>
      </c>
      <c r="D10" s="29" t="n">
        <v>22</v>
      </c>
      <c r="E10" s="24">
        <f>IFERROR((D10-C10)/D10,0)</f>
        <v/>
      </c>
      <c r="F10" s="38" t="n">
        <v>14</v>
      </c>
      <c r="G10" s="39">
        <f>D10*F10</f>
        <v/>
      </c>
    </row>
    <row r="11">
      <c r="B11" s="20" t="inlineStr">
        <is>
          <t>Macarons (dz)</t>
        </is>
      </c>
      <c r="C11" s="26" t="n">
        <v>5.8</v>
      </c>
      <c r="D11" s="32" t="n">
        <v>30</v>
      </c>
      <c r="E11" s="21">
        <f>IFERROR((D11-C11)/D11,0)</f>
        <v/>
      </c>
      <c r="F11" s="28" t="n">
        <v>10</v>
      </c>
      <c r="G11" s="37">
        <f>D11*F11</f>
        <v/>
      </c>
    </row>
    <row r="12">
      <c r="B12" s="23" t="inlineStr">
        <is>
          <t>Pie</t>
        </is>
      </c>
      <c r="C12" s="27" t="n">
        <v>4.5</v>
      </c>
      <c r="D12" s="29" t="n">
        <v>26</v>
      </c>
      <c r="E12" s="24">
        <f>IFERROR((D12-C12)/D12,0)</f>
        <v/>
      </c>
      <c r="F12" s="38" t="n">
        <v>9</v>
      </c>
      <c r="G12" s="39">
        <f>D12*F12</f>
        <v/>
      </c>
    </row>
    <row r="14">
      <c r="B14" s="33" t="inlineStr">
        <is>
          <t>Monthly product income</t>
        </is>
      </c>
      <c r="G14" s="40">
        <f>SUM(ProdRev)</f>
        <v/>
      </c>
    </row>
    <row r="15">
      <c r="B15" s="33" t="inlineStr">
        <is>
          <t>Overall food cost %</t>
        </is>
      </c>
      <c r="G15" s="41">
        <f>IFERROR(SUMPRODUCT(ProdCost,ProdUnits)/SUMPRODUCT(ProdPrice,ProdUnits),0)</f>
        <v/>
      </c>
    </row>
  </sheetData>
  <mergeCells count="2">
    <mergeCell ref="A2:G2"/>
    <mergeCell ref="A1:G1"/>
  </mergeCells>
  <conditionalFormatting sqref="E5:E12">
    <cfRule type="colorScale" priority="1">
      <colorScale>
        <cfvo type="num" val="0.5"/>
        <cfvo type="num" val="0.7"/>
        <cfvo type="num" val="0.9"/>
        <color rgb="FFFBE6E6"/>
        <color rgb="FFFFF3CD"/>
        <color rgb="FF75E6C1"/>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 customWidth="1" min="1" max="1"/>
    <col width="18" customWidth="1" min="2" max="2"/>
    <col width="22" customWidth="1" min="3" max="3"/>
    <col width="12" customWidth="1" min="4" max="4"/>
    <col width="12" customWidth="1" min="5" max="5"/>
    <col width="12" customWidth="1" min="6" max="6"/>
    <col width="14" customWidth="1" min="7" max="7"/>
    <col width="2" customWidth="1" min="8" max="8"/>
  </cols>
  <sheetData>
    <row r="1" ht="46" customHeight="1">
      <c r="A1" s="1" t="inlineStr">
        <is>
          <t xml:space="preserve">  📝  CUSTOM ORDERS</t>
        </is>
      </c>
    </row>
    <row r="2" ht="22" customHeight="1">
      <c r="A2" s="2" t="inlineStr">
        <is>
          <t xml:space="preserve">  Every custom order — due date, price, deposit &amp; status, so nothing gets missed.</t>
        </is>
      </c>
    </row>
    <row r="3" ht="6" customHeight="1">
      <c r="A3" s="3" t="n"/>
      <c r="B3" s="3" t="n"/>
      <c r="C3" s="3" t="n"/>
      <c r="D3" s="3" t="n"/>
      <c r="E3" s="3" t="n"/>
      <c r="F3" s="3" t="n"/>
      <c r="G3" s="3" t="n"/>
    </row>
    <row r="4" ht="30" customHeight="1">
      <c r="B4" s="9" t="inlineStr">
        <is>
          <t>Customer</t>
        </is>
      </c>
      <c r="C4" s="9" t="inlineStr">
        <is>
          <t>Order</t>
        </is>
      </c>
      <c r="D4" s="9" t="inlineStr">
        <is>
          <t>Due</t>
        </is>
      </c>
      <c r="E4" s="9" t="inlineStr">
        <is>
          <t>Price</t>
        </is>
      </c>
      <c r="F4" s="9" t="inlineStr">
        <is>
          <t>Deposit</t>
        </is>
      </c>
      <c r="G4" s="9" t="inlineStr">
        <is>
          <t>Status</t>
        </is>
      </c>
    </row>
    <row r="5">
      <c r="B5" s="20" t="inlineStr">
        <is>
          <t>Sarah M.</t>
        </is>
      </c>
      <c r="C5" s="20" t="inlineStr">
        <is>
          <t>Birthday cake</t>
        </is>
      </c>
      <c r="D5" s="42" t="n">
        <v>46230</v>
      </c>
      <c r="E5" s="32" t="n">
        <v>55</v>
      </c>
      <c r="F5" s="32" t="n">
        <v>25</v>
      </c>
      <c r="G5" s="22" t="inlineStr">
        <is>
          <t>Confirmed</t>
        </is>
      </c>
    </row>
    <row r="6">
      <c r="B6" s="23" t="inlineStr">
        <is>
          <t>Mike R.</t>
        </is>
      </c>
      <c r="C6" s="23" t="inlineStr">
        <is>
          <t>3 dz cookies</t>
        </is>
      </c>
      <c r="D6" s="43" t="n">
        <v>46228</v>
      </c>
      <c r="E6" s="29" t="n">
        <v>99</v>
      </c>
      <c r="F6" s="29" t="n">
        <v>0</v>
      </c>
      <c r="G6" s="25" t="inlineStr">
        <is>
          <t>Confirmed</t>
        </is>
      </c>
    </row>
    <row r="7">
      <c r="B7" s="20" t="inlineStr">
        <is>
          <t>Ana L.</t>
        </is>
      </c>
      <c r="C7" s="20" t="inlineStr">
        <is>
          <t>Wedding cupcakes</t>
        </is>
      </c>
      <c r="D7" s="42" t="n">
        <v>46237</v>
      </c>
      <c r="E7" s="32" t="n">
        <v>180</v>
      </c>
      <c r="F7" s="32" t="n">
        <v>90</v>
      </c>
      <c r="G7" s="22" t="inlineStr">
        <is>
          <t>Deposit</t>
        </is>
      </c>
    </row>
    <row r="8">
      <c r="B8" s="23" t="inlineStr">
        <is>
          <t>Tom B.</t>
        </is>
      </c>
      <c r="C8" s="23" t="inlineStr">
        <is>
          <t>Pie x2</t>
        </is>
      </c>
      <c r="D8" s="43" t="n">
        <v>46227</v>
      </c>
      <c r="E8" s="29" t="n">
        <v>52</v>
      </c>
      <c r="F8" s="29" t="n">
        <v>0</v>
      </c>
      <c r="G8" s="25" t="inlineStr">
        <is>
          <t>Confirmed</t>
        </is>
      </c>
    </row>
    <row r="9">
      <c r="B9" s="20" t="inlineStr">
        <is>
          <t>Lily K.</t>
        </is>
      </c>
      <c r="C9" s="20" t="inlineStr">
        <is>
          <t>Macarons</t>
        </is>
      </c>
      <c r="D9" s="42" t="n">
        <v>46233</v>
      </c>
      <c r="E9" s="32" t="n">
        <v>30</v>
      </c>
      <c r="F9" s="32" t="n">
        <v>0</v>
      </c>
      <c r="G9" s="22" t="inlineStr">
        <is>
          <t>Inquiry</t>
        </is>
      </c>
    </row>
    <row r="10">
      <c r="B10" s="9" t="inlineStr">
        <is>
          <t>OPEN ORDER VALUE</t>
        </is>
      </c>
      <c r="C10" s="44" t="n"/>
      <c r="D10" s="44" t="n"/>
      <c r="E10" s="45">
        <f>SUMIF(OrderStatus,"&lt;&gt;Delivered",OrderPrice)</f>
        <v/>
      </c>
      <c r="F10" s="44" t="n"/>
      <c r="G10" s="44" t="n"/>
    </row>
  </sheetData>
  <mergeCells count="2">
    <mergeCell ref="A2:G2"/>
    <mergeCell ref="A1:G1"/>
  </mergeCells>
  <conditionalFormatting sqref="G5:G9">
    <cfRule type="cellIs" priority="1" operator="equal" dxfId="0">
      <formula>"Confirmed"</formula>
    </cfRule>
    <cfRule type="cellIs" priority="2" operator="equal" dxfId="1">
      <formula>"Deposit"</formula>
    </cfRule>
    <cfRule type="cellIs" priority="3" operator="equal" dxfId="2">
      <formula>"Inquiry"</formula>
    </cfRule>
    <cfRule type="cellIs" priority="4" operator="equal" dxfId="3">
      <formula>"Delivered"</formula>
    </cfRule>
  </conditionalFormatting>
  <dataValidations count="5">
    <dataValidation sqref="G5" showDropDown="0" showInputMessage="0" showErrorMessage="0" allowBlank="1" type="list">
      <formula1>=StatusList</formula1>
    </dataValidation>
    <dataValidation sqref="G6" showDropDown="0" showInputMessage="0" showErrorMessage="0" allowBlank="1" type="list">
      <formula1>=StatusList</formula1>
    </dataValidation>
    <dataValidation sqref="G7" showDropDown="0" showInputMessage="0" showErrorMessage="0" allowBlank="1" type="list">
      <formula1>=StatusList</formula1>
    </dataValidation>
    <dataValidation sqref="G8" showDropDown="0" showInputMessage="0" showErrorMessage="0" allowBlank="1" type="list">
      <formula1>=StatusList</formula1>
    </dataValidation>
    <dataValidation sqref="G9" showDropDown="0" showInputMessage="0" showErrorMessage="0" allowBlank="1" type="list">
      <formula1>=StatusList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4" customWidth="1" min="3" max="3"/>
    <col width="16" customWidth="1" min="4" max="4"/>
    <col width="12" customWidth="1" min="5" max="5"/>
    <col width="2" customWidth="1" min="6" max="6"/>
  </cols>
  <sheetData>
    <row r="1" ht="46" customHeight="1">
      <c r="A1" s="1" t="inlineStr">
        <is>
          <t xml:space="preserve">  🥣  INGREDIENT COSTS</t>
        </is>
      </c>
    </row>
    <row r="2" ht="22" customHeight="1">
      <c r="A2" s="2" t="inlineStr">
        <is>
          <t xml:space="preserve">  Your pantry price list — what each ingredient costs, so recipe costing is accurate.</t>
        </is>
      </c>
    </row>
    <row r="3" ht="6" customHeight="1">
      <c r="A3" s="3" t="n"/>
      <c r="B3" s="3" t="n"/>
      <c r="C3" s="3" t="n"/>
      <c r="D3" s="3" t="n"/>
      <c r="E3" s="3" t="n"/>
    </row>
    <row r="4" ht="30" customHeight="1">
      <c r="B4" s="9" t="inlineStr">
        <is>
          <t>Ingredient</t>
        </is>
      </c>
      <c r="C4" s="9" t="inlineStr">
        <is>
          <t>Pack Price</t>
        </is>
      </c>
      <c r="D4" s="9" t="inlineStr">
        <is>
          <t>Pack Size</t>
        </is>
      </c>
      <c r="E4" s="9" t="inlineStr">
        <is>
          <t>Unit</t>
        </is>
      </c>
    </row>
    <row r="5">
      <c r="B5" s="46" t="inlineStr">
        <is>
          <t>Flour</t>
        </is>
      </c>
      <c r="C5" s="47" t="n">
        <v>4.5</v>
      </c>
      <c r="D5" s="46" t="inlineStr">
        <is>
          <t>5 lb bag</t>
        </is>
      </c>
      <c r="E5" s="48" t="inlineStr">
        <is>
          <t>lb</t>
        </is>
      </c>
    </row>
    <row r="6">
      <c r="B6" s="23" t="inlineStr">
        <is>
          <t>Butter</t>
        </is>
      </c>
      <c r="C6" s="49" t="n">
        <v>4.8</v>
      </c>
      <c r="D6" s="23" t="inlineStr">
        <is>
          <t>1 lb</t>
        </is>
      </c>
      <c r="E6" s="25" t="inlineStr">
        <is>
          <t>lb</t>
        </is>
      </c>
    </row>
    <row r="7">
      <c r="B7" s="46" t="inlineStr">
        <is>
          <t>Sugar</t>
        </is>
      </c>
      <c r="C7" s="47" t="n">
        <v>3.2</v>
      </c>
      <c r="D7" s="46" t="inlineStr">
        <is>
          <t>4 lb bag</t>
        </is>
      </c>
      <c r="E7" s="48" t="inlineStr">
        <is>
          <t>lb</t>
        </is>
      </c>
    </row>
    <row r="8">
      <c r="B8" s="23" t="inlineStr">
        <is>
          <t>Eggs</t>
        </is>
      </c>
      <c r="C8" s="49" t="n">
        <v>3.6</v>
      </c>
      <c r="D8" s="23" t="inlineStr">
        <is>
          <t>dozen</t>
        </is>
      </c>
      <c r="E8" s="25" t="inlineStr">
        <is>
          <t>dozen</t>
        </is>
      </c>
    </row>
    <row r="9">
      <c r="B9" s="46" t="inlineStr">
        <is>
          <t>Chocolate chips</t>
        </is>
      </c>
      <c r="C9" s="47" t="n">
        <v>3.8</v>
      </c>
      <c r="D9" s="46" t="inlineStr">
        <is>
          <t>12 oz</t>
        </is>
      </c>
      <c r="E9" s="48" t="inlineStr">
        <is>
          <t>oz</t>
        </is>
      </c>
    </row>
    <row r="10">
      <c r="B10" s="23" t="inlineStr">
        <is>
          <t>Vanilla</t>
        </is>
      </c>
      <c r="C10" s="49" t="n">
        <v>8</v>
      </c>
      <c r="D10" s="23" t="inlineStr">
        <is>
          <t>4 oz</t>
        </is>
      </c>
      <c r="E10" s="25" t="inlineStr">
        <is>
          <t>oz</t>
        </is>
      </c>
    </row>
    <row r="11">
      <c r="B11" s="46" t="inlineStr">
        <is>
          <t>Cream cheese</t>
        </is>
      </c>
      <c r="C11" s="47" t="n">
        <v>3.4</v>
      </c>
      <c r="D11" s="46" t="inlineStr">
        <is>
          <t>8 oz</t>
        </is>
      </c>
      <c r="E11" s="48" t="inlineStr">
        <is>
          <t>oz</t>
        </is>
      </c>
    </row>
    <row r="12">
      <c r="B12" s="23" t="inlineStr">
        <is>
          <t>Powdered sugar</t>
        </is>
      </c>
      <c r="C12" s="49" t="n">
        <v>2.9</v>
      </c>
      <c r="D12" s="23" t="inlineStr">
        <is>
          <t>2 lb</t>
        </is>
      </c>
      <c r="E12" s="25" t="inlineStr">
        <is>
          <t>lb</t>
        </is>
      </c>
    </row>
    <row r="13">
      <c r="B13" s="46" t="n"/>
      <c r="C13" s="47" t="n"/>
      <c r="D13" s="46" t="n"/>
      <c r="E13" s="48" t="n"/>
    </row>
    <row r="14">
      <c r="B14" s="23" t="n"/>
      <c r="C14" s="49" t="n"/>
      <c r="D14" s="23" t="n"/>
      <c r="E14" s="25" t="n"/>
    </row>
    <row r="15">
      <c r="B15" s="46" t="n"/>
      <c r="C15" s="47" t="n"/>
      <c r="D15" s="46" t="n"/>
      <c r="E15" s="48" t="n"/>
    </row>
    <row r="16">
      <c r="B16" s="23" t="n"/>
      <c r="C16" s="49" t="n"/>
      <c r="D16" s="23" t="n"/>
      <c r="E16" s="25" t="n"/>
    </row>
    <row r="17">
      <c r="B17" s="46" t="n"/>
      <c r="C17" s="47" t="n"/>
      <c r="D17" s="46" t="n"/>
      <c r="E17" s="48" t="n"/>
    </row>
    <row r="18">
      <c r="B18" s="23" t="n"/>
      <c r="C18" s="49" t="n"/>
      <c r="D18" s="23" t="n"/>
      <c r="E18" s="25" t="n"/>
    </row>
    <row r="19">
      <c r="B19" s="46" t="n"/>
      <c r="C19" s="47" t="n"/>
      <c r="D19" s="46" t="n"/>
      <c r="E19" s="48" t="n"/>
    </row>
    <row r="20">
      <c r="B20" s="23" t="n"/>
      <c r="C20" s="49" t="n"/>
      <c r="D20" s="23" t="n"/>
      <c r="E20" s="25" t="n"/>
    </row>
    <row r="21">
      <c r="B21" s="46" t="n"/>
      <c r="C21" s="47" t="n"/>
      <c r="D21" s="46" t="n"/>
      <c r="E21" s="48" t="n"/>
    </row>
    <row r="22">
      <c r="B22" s="23" t="n"/>
      <c r="C22" s="49" t="n"/>
      <c r="D22" s="23" t="n"/>
      <c r="E22" s="25" t="n"/>
    </row>
    <row r="23">
      <c r="B23" s="46" t="n"/>
      <c r="C23" s="47" t="n"/>
      <c r="D23" s="46" t="n"/>
      <c r="E23" s="48" t="n"/>
    </row>
    <row r="24">
      <c r="B24" s="23" t="n"/>
      <c r="C24" s="49" t="n"/>
      <c r="D24" s="23" t="n"/>
      <c r="E24" s="25" t="n"/>
    </row>
    <row r="25">
      <c r="B25" s="46" t="n"/>
      <c r="C25" s="47" t="n"/>
      <c r="D25" s="46" t="n"/>
      <c r="E25" s="48" t="n"/>
    </row>
    <row r="26">
      <c r="B26" s="23" t="n"/>
      <c r="C26" s="49" t="n"/>
      <c r="D26" s="23" t="n"/>
      <c r="E26" s="25" t="n"/>
    </row>
    <row r="27">
      <c r="B27" s="46" t="n"/>
      <c r="C27" s="47" t="n"/>
      <c r="D27" s="46" t="n"/>
      <c r="E27" s="48" t="n"/>
    </row>
    <row r="28">
      <c r="B28" s="23" t="n"/>
      <c r="C28" s="49" t="n"/>
      <c r="D28" s="23" t="n"/>
      <c r="E28" s="25" t="n"/>
    </row>
  </sheetData>
  <mergeCells count="2">
    <mergeCell ref="A2:E2"/>
    <mergeCell ref="A1:E1"/>
  </mergeCells>
  <dataValidations count="1">
    <dataValidation sqref="E5:E28" showDropDown="0" showInputMessage="0" showErrorMessage="0" allowBlank="1" type="list">
      <formula1>=UnitList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2" customWidth="1" min="1" max="1"/>
    <col width="22" customWidth="1" min="2" max="2"/>
    <col width="30" customWidth="1" min="3" max="3"/>
    <col width="14" customWidth="1" min="4" max="4"/>
    <col width="2" customWidth="1" min="5" max="5"/>
  </cols>
  <sheetData>
    <row r="1" ht="46" customHeight="1">
      <c r="A1" s="1" t="inlineStr">
        <is>
          <t xml:space="preserve">  🏷  LABELING &amp; ALLERGENS</t>
        </is>
      </c>
    </row>
    <row r="2" ht="22" customHeight="1">
      <c r="A2" s="2" t="inlineStr">
        <is>
          <t xml:space="preserve">  Cottage-food labels — product, allergens &amp; net weight. Check your state's rules for what's required.</t>
        </is>
      </c>
    </row>
    <row r="3" ht="6" customHeight="1">
      <c r="A3" s="3" t="n"/>
      <c r="B3" s="3" t="n"/>
      <c r="C3" s="3" t="n"/>
      <c r="D3" s="3" t="n"/>
    </row>
    <row r="4" ht="30" customHeight="1">
      <c r="B4" s="9" t="inlineStr">
        <is>
          <t>Product</t>
        </is>
      </c>
      <c r="C4" s="9" t="inlineStr">
        <is>
          <t>Allergens</t>
        </is>
      </c>
      <c r="D4" s="9" t="inlineStr">
        <is>
          <t>Net Weight</t>
        </is>
      </c>
    </row>
    <row r="5">
      <c r="B5" s="46" t="inlineStr">
        <is>
          <t>Custom Cookies</t>
        </is>
      </c>
      <c r="C5" s="46" t="inlineStr">
        <is>
          <t>Wheat/Gluten, Eggs, Dairy</t>
        </is>
      </c>
      <c r="D5" s="46" t="inlineStr">
        <is>
          <t>12 oz</t>
        </is>
      </c>
    </row>
    <row r="6">
      <c r="B6" s="23" t="inlineStr">
        <is>
          <t>Cupcakes</t>
        </is>
      </c>
      <c r="C6" s="23" t="inlineStr">
        <is>
          <t>Wheat/Gluten, Eggs, Dairy</t>
        </is>
      </c>
      <c r="D6" s="23" t="inlineStr">
        <is>
          <t>16 oz</t>
        </is>
      </c>
    </row>
    <row r="7">
      <c r="B7" s="46" t="inlineStr">
        <is>
          <t>Layer Cake</t>
        </is>
      </c>
      <c r="C7" s="46" t="inlineStr">
        <is>
          <t>Wheat/Gluten, Eggs, Dairy</t>
        </is>
      </c>
      <c r="D7" s="46" t="inlineStr">
        <is>
          <t>32 oz</t>
        </is>
      </c>
    </row>
    <row r="8">
      <c r="B8" s="23" t="inlineStr">
        <is>
          <t>Banana Bread</t>
        </is>
      </c>
      <c r="C8" s="23" t="inlineStr">
        <is>
          <t>Wheat/Gluten, Eggs, Nuts</t>
        </is>
      </c>
      <c r="D8" s="23" t="inlineStr">
        <is>
          <t>18 oz</t>
        </is>
      </c>
    </row>
    <row r="9">
      <c r="B9" s="46" t="inlineStr">
        <is>
          <t>Macarons</t>
        </is>
      </c>
      <c r="C9" s="46" t="inlineStr">
        <is>
          <t>Eggs, Nuts</t>
        </is>
      </c>
      <c r="D9" s="46" t="inlineStr">
        <is>
          <t>8 oz</t>
        </is>
      </c>
    </row>
    <row r="10">
      <c r="B10" s="23" t="n"/>
      <c r="C10" s="23" t="n"/>
      <c r="D10" s="23" t="n"/>
    </row>
    <row r="11">
      <c r="B11" s="46" t="n"/>
      <c r="C11" s="46" t="n"/>
      <c r="D11" s="46" t="n"/>
    </row>
    <row r="12">
      <c r="B12" s="23" t="n"/>
      <c r="C12" s="23" t="n"/>
      <c r="D12" s="23" t="n"/>
    </row>
    <row r="13">
      <c r="B13" s="46" t="n"/>
      <c r="C13" s="46" t="n"/>
      <c r="D13" s="46" t="n"/>
    </row>
    <row r="14">
      <c r="B14" s="23" t="n"/>
      <c r="C14" s="23" t="n"/>
      <c r="D14" s="23" t="n"/>
    </row>
    <row r="15">
      <c r="B15" s="46" t="n"/>
      <c r="C15" s="46" t="n"/>
      <c r="D15" s="46" t="n"/>
    </row>
    <row r="16">
      <c r="B16" s="23" t="n"/>
      <c r="C16" s="23" t="n"/>
      <c r="D16" s="23" t="n"/>
    </row>
    <row r="17">
      <c r="B17" s="46" t="n"/>
      <c r="C17" s="46" t="n"/>
      <c r="D17" s="46" t="n"/>
    </row>
    <row r="18">
      <c r="B18" s="23" t="n"/>
      <c r="C18" s="23" t="n"/>
      <c r="D18" s="23" t="n"/>
    </row>
    <row r="19">
      <c r="B19" s="46" t="n"/>
      <c r="C19" s="46" t="n"/>
      <c r="D19" s="46" t="n"/>
    </row>
    <row r="20">
      <c r="B20" s="23" t="n"/>
      <c r="C20" s="23" t="n"/>
      <c r="D20" s="23" t="n"/>
    </row>
    <row r="21">
      <c r="B21" s="46" t="n"/>
      <c r="C21" s="46" t="n"/>
      <c r="D21" s="46" t="n"/>
    </row>
    <row r="22">
      <c r="B22" s="23" t="n"/>
      <c r="C22" s="23" t="n"/>
      <c r="D22" s="23" t="n"/>
    </row>
    <row r="23">
      <c r="B23" s="46" t="n"/>
      <c r="C23" s="46" t="n"/>
      <c r="D23" s="46" t="n"/>
    </row>
    <row r="24">
      <c r="B24" s="23" t="n"/>
      <c r="C24" s="23" t="n"/>
      <c r="D24" s="23" t="n"/>
    </row>
    <row r="25">
      <c r="B25" s="46" t="n"/>
      <c r="C25" s="46" t="n"/>
      <c r="D25" s="46" t="n"/>
    </row>
    <row r="26">
      <c r="B26" s="23" t="n"/>
      <c r="C26" s="23" t="n"/>
      <c r="D26" s="23" t="n"/>
    </row>
    <row r="27">
      <c r="B27" s="46" t="n"/>
      <c r="C27" s="46" t="n"/>
      <c r="D27" s="46" t="n"/>
    </row>
    <row r="28">
      <c r="B28" s="23" t="n"/>
      <c r="C28" s="23" t="n"/>
      <c r="D28" s="23" t="n"/>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4" customWidth="1" min="3" max="3"/>
    <col width="12" customWidth="1" min="4" max="4"/>
    <col width="14" customWidth="1" min="5" max="5"/>
    <col width="14" customWidth="1" min="6" max="6"/>
    <col width="2" customWidth="1" min="7" max="7"/>
  </cols>
  <sheetData>
    <row r="1" ht="46" customHeight="1">
      <c r="A1" s="1" t="inlineStr">
        <is>
          <t xml:space="preserve">  ⛺  MARKETS &amp; EVENTS</t>
        </is>
      </c>
    </row>
    <row r="2" ht="22" customHeight="1">
      <c r="A2" s="2" t="inlineStr">
        <is>
          <t xml:space="preserve">  Farmers markets &amp; pop-ups — the fee, the sales &amp; the profit after the booth cost.</t>
        </is>
      </c>
    </row>
    <row r="3" ht="6" customHeight="1">
      <c r="A3" s="3" t="n"/>
      <c r="B3" s="3" t="n"/>
      <c r="C3" s="3" t="n"/>
      <c r="D3" s="3" t="n"/>
      <c r="E3" s="3" t="n"/>
      <c r="F3" s="3" t="n"/>
    </row>
    <row r="4" ht="30" customHeight="1">
      <c r="B4" s="9" t="inlineStr">
        <is>
          <t>Market / Event</t>
        </is>
      </c>
      <c r="C4" s="9" t="inlineStr">
        <is>
          <t>Date</t>
        </is>
      </c>
      <c r="D4" s="9" t="inlineStr">
        <is>
          <t>Fee</t>
        </is>
      </c>
      <c r="E4" s="9" t="inlineStr">
        <is>
          <t>Sales</t>
        </is>
      </c>
      <c r="F4" s="9" t="inlineStr">
        <is>
          <t>Net</t>
        </is>
      </c>
    </row>
    <row r="5">
      <c r="B5" s="20" t="inlineStr">
        <is>
          <t>Downtown Farmers Market</t>
        </is>
      </c>
      <c r="C5" s="42" t="n">
        <v>46229</v>
      </c>
      <c r="D5" s="32" t="n">
        <v>35</v>
      </c>
      <c r="E5" s="32" t="n">
        <v>320</v>
      </c>
      <c r="F5" s="37">
        <f>E5-D5</f>
        <v/>
      </c>
    </row>
    <row r="6">
      <c r="B6" s="23" t="inlineStr">
        <is>
          <t>Craft Fair</t>
        </is>
      </c>
      <c r="C6" s="43" t="n">
        <v>46236</v>
      </c>
      <c r="D6" s="29" t="n">
        <v>60</v>
      </c>
      <c r="E6" s="29" t="n">
        <v>480</v>
      </c>
      <c r="F6" s="39">
        <f>E6-D6</f>
        <v/>
      </c>
    </row>
    <row r="7">
      <c r="B7" s="20" t="inlineStr">
        <is>
          <t>Holiday Market</t>
        </is>
      </c>
      <c r="C7" s="42" t="n">
        <v>46250</v>
      </c>
      <c r="D7" s="32" t="n">
        <v>75</v>
      </c>
      <c r="E7" s="32" t="n">
        <v>640</v>
      </c>
      <c r="F7" s="37">
        <f>E7-D7</f>
        <v/>
      </c>
    </row>
    <row r="8">
      <c r="B8" s="23" t="inlineStr">
        <is>
          <t>Neighborhood Pop-up</t>
        </is>
      </c>
      <c r="C8" s="43" t="n">
        <v>46231</v>
      </c>
      <c r="D8" s="29" t="n">
        <v>0</v>
      </c>
      <c r="E8" s="29" t="n">
        <v>210</v>
      </c>
      <c r="F8" s="39">
        <f>E8-D8</f>
        <v/>
      </c>
    </row>
    <row r="9">
      <c r="B9" s="9" t="inlineStr">
        <is>
          <t>TOTALS</t>
        </is>
      </c>
      <c r="C9" s="44" t="n"/>
      <c r="D9" s="50">
        <f>SUM(D5:D8)</f>
        <v/>
      </c>
      <c r="E9" s="50">
        <f>SUM(E5:E8)</f>
        <v/>
      </c>
      <c r="F9" s="50">
        <f>SUM(F5:F8)</f>
        <v/>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INCOME &amp; EXPENSES</t>
        </is>
      </c>
    </row>
    <row r="2" ht="22" customHeight="1">
      <c r="A2" s="2" t="inlineStr">
        <is>
          <t xml:space="preserve">  Your books for tax time — income in, expenses out, and the profit that's really yours.</t>
        </is>
      </c>
    </row>
    <row r="3" ht="6" customHeight="1">
      <c r="A3" s="3" t="n"/>
      <c r="B3" s="3" t="n"/>
      <c r="C3" s="3" t="n"/>
    </row>
    <row r="5">
      <c r="B5" s="4" t="inlineStr">
        <is>
          <t>INCOME</t>
        </is>
      </c>
    </row>
    <row r="6">
      <c r="B6" s="20" t="inlineStr">
        <is>
          <t>Product &amp; order income</t>
        </is>
      </c>
      <c r="C6" s="45">
        <f>MonthlyIncome</f>
        <v/>
      </c>
    </row>
    <row r="8">
      <c r="B8" s="4" t="inlineStr">
        <is>
          <t>EXPENSES</t>
        </is>
      </c>
    </row>
    <row r="9" ht="30" customHeight="1">
      <c r="B9" s="9" t="inlineStr">
        <is>
          <t>Expense</t>
        </is>
      </c>
      <c r="C9" s="9" t="inlineStr">
        <is>
          <t>Amount</t>
        </is>
      </c>
    </row>
    <row r="10">
      <c r="B10" s="20" t="inlineStr">
        <is>
          <t>Ingredients</t>
        </is>
      </c>
      <c r="C10" s="32" t="n">
        <v>720</v>
      </c>
    </row>
    <row r="11">
      <c r="B11" s="23" t="inlineStr">
        <is>
          <t>Packaging &amp; labels</t>
        </is>
      </c>
      <c r="C11" s="29" t="n">
        <v>180</v>
      </c>
    </row>
    <row r="12">
      <c r="B12" s="20" t="inlineStr">
        <is>
          <t>Market fees</t>
        </is>
      </c>
      <c r="C12" s="32" t="n">
        <v>120</v>
      </c>
    </row>
    <row r="13">
      <c r="B13" s="23" t="inlineStr">
        <is>
          <t>Supplies &amp; equipment</t>
        </is>
      </c>
      <c r="C13" s="29" t="n">
        <v>90</v>
      </c>
    </row>
    <row r="14">
      <c r="B14" s="20" t="inlineStr">
        <is>
          <t>Marketing</t>
        </is>
      </c>
      <c r="C14" s="32" t="n">
        <v>60</v>
      </c>
    </row>
    <row r="15">
      <c r="B15" s="23" t="inlineStr">
        <is>
          <t>Mileage / other</t>
        </is>
      </c>
      <c r="C15" s="29" t="n">
        <v>80</v>
      </c>
    </row>
    <row r="16">
      <c r="B16" s="9" t="inlineStr">
        <is>
          <t>TOTAL EXPENSES</t>
        </is>
      </c>
      <c r="C16" s="51">
        <f>SUM(ExpAmt)</f>
        <v/>
      </c>
    </row>
    <row r="18">
      <c r="B18" s="9">
        <f> NET PROFIT</f>
        <v/>
      </c>
      <c r="C18" s="52">
        <f>TotalIncome-ExpTotal</f>
        <v/>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24" customWidth="1" min="3" max="3"/>
    <col width="14" customWidth="1" min="4" max="4"/>
    <col width="2" customWidth="1" min="5" max="5"/>
  </cols>
  <sheetData>
    <row r="1" ht="46" customHeight="1">
      <c r="A1" s="1" t="inlineStr">
        <is>
          <t xml:space="preserve">  🗑  WASTE LOG</t>
        </is>
      </c>
    </row>
    <row r="2" ht="22" customHeight="1">
      <c r="A2" s="2" t="inlineStr">
        <is>
          <t xml:space="preserve">  Failed batches &amp; unsold stock — the leaks that quietly eat your profit.</t>
        </is>
      </c>
    </row>
    <row r="3" ht="6" customHeight="1">
      <c r="A3" s="3" t="n"/>
      <c r="B3" s="3" t="n"/>
      <c r="C3" s="3" t="n"/>
      <c r="D3" s="3" t="n"/>
    </row>
    <row r="4" ht="30" customHeight="1">
      <c r="B4" s="9" t="inlineStr">
        <is>
          <t>Item</t>
        </is>
      </c>
      <c r="C4" s="9" t="inlineStr">
        <is>
          <t>Reason</t>
        </is>
      </c>
      <c r="D4" s="9" t="inlineStr">
        <is>
          <t>Cost</t>
        </is>
      </c>
    </row>
    <row r="5">
      <c r="B5" s="46" t="inlineStr">
        <is>
          <t>Failed batch</t>
        </is>
      </c>
      <c r="C5" s="46" t="inlineStr">
        <is>
          <t>Over-baked</t>
        </is>
      </c>
      <c r="D5" s="47" t="n">
        <v>32</v>
      </c>
    </row>
    <row r="6">
      <c r="B6" s="23" t="inlineStr">
        <is>
          <t>Leftover / unsold</t>
        </is>
      </c>
      <c r="C6" s="23" t="inlineStr">
        <is>
          <t>Market end</t>
        </is>
      </c>
      <c r="D6" s="49" t="n">
        <v>30</v>
      </c>
    </row>
    <row r="7">
      <c r="B7" s="46" t="inlineStr">
        <is>
          <t>Spoiled ingredients</t>
        </is>
      </c>
      <c r="C7" s="46" t="inlineStr">
        <is>
          <t>Expired</t>
        </is>
      </c>
      <c r="D7" s="47" t="n">
        <v>18</v>
      </c>
    </row>
    <row r="8">
      <c r="B8" s="23" t="inlineStr">
        <is>
          <t>Broken / dropped</t>
        </is>
      </c>
      <c r="C8" s="23" t="inlineStr">
        <is>
          <t>Handling</t>
        </is>
      </c>
      <c r="D8" s="49" t="n">
        <v>10</v>
      </c>
    </row>
    <row r="9">
      <c r="B9" s="46" t="n"/>
      <c r="C9" s="46" t="n"/>
      <c r="D9" s="47" t="n"/>
    </row>
    <row r="10">
      <c r="B10" s="23" t="n"/>
      <c r="C10" s="23" t="n"/>
      <c r="D10" s="49" t="n"/>
    </row>
    <row r="11">
      <c r="B11" s="46" t="n"/>
      <c r="C11" s="46" t="n"/>
      <c r="D11" s="47" t="n"/>
    </row>
    <row r="12">
      <c r="B12" s="23" t="n"/>
      <c r="C12" s="23" t="n"/>
      <c r="D12" s="49" t="n"/>
    </row>
    <row r="13">
      <c r="B13" s="46" t="n"/>
      <c r="C13" s="46" t="n"/>
      <c r="D13" s="47" t="n"/>
    </row>
    <row r="14">
      <c r="B14" s="23" t="n"/>
      <c r="C14" s="23" t="n"/>
      <c r="D14" s="49" t="n"/>
    </row>
    <row r="15">
      <c r="B15" s="46" t="n"/>
      <c r="C15" s="46" t="n"/>
      <c r="D15" s="47" t="n"/>
    </row>
    <row r="16">
      <c r="B16" s="23" t="n"/>
      <c r="C16" s="23" t="n"/>
      <c r="D16" s="49" t="n"/>
    </row>
    <row r="17">
      <c r="B17" s="46" t="n"/>
      <c r="C17" s="46" t="n"/>
      <c r="D17" s="47" t="n"/>
    </row>
    <row r="18">
      <c r="B18" s="23" t="n"/>
      <c r="C18" s="23" t="n"/>
      <c r="D18" s="49" t="n"/>
    </row>
    <row r="19">
      <c r="B19" s="46" t="n"/>
      <c r="C19" s="46" t="n"/>
      <c r="D19" s="47" t="n"/>
    </row>
    <row r="20">
      <c r="B20" s="23" t="n"/>
      <c r="C20" s="23" t="n"/>
      <c r="D20" s="49" t="n"/>
    </row>
    <row r="21">
      <c r="B21" s="46" t="n"/>
      <c r="C21" s="46" t="n"/>
      <c r="D21" s="47" t="n"/>
    </row>
    <row r="22">
      <c r="B22" s="23" t="n"/>
      <c r="C22" s="23" t="n"/>
      <c r="D22" s="49" t="n"/>
    </row>
    <row r="23">
      <c r="B23" s="46" t="n"/>
      <c r="C23" s="46" t="n"/>
      <c r="D23" s="47" t="n"/>
    </row>
    <row r="24">
      <c r="B24" s="23" t="n"/>
      <c r="C24" s="23" t="n"/>
      <c r="D24" s="49" t="n"/>
    </row>
    <row r="25">
      <c r="B25" s="46" t="n"/>
      <c r="C25" s="46" t="n"/>
      <c r="D25" s="47" t="n"/>
    </row>
    <row r="26">
      <c r="B26" s="23" t="n"/>
      <c r="C26" s="23" t="n"/>
      <c r="D26" s="49" t="n"/>
    </row>
    <row r="27">
      <c r="B27" s="46" t="n"/>
      <c r="C27" s="46" t="n"/>
      <c r="D27" s="47" t="n"/>
    </row>
    <row r="28">
      <c r="B28" s="23" t="n"/>
      <c r="C28" s="23" t="n"/>
      <c r="D28" s="49" t="n"/>
    </row>
    <row r="29">
      <c r="B29" s="9" t="inlineStr">
        <is>
          <t>TOTAL WASTE</t>
        </is>
      </c>
      <c r="C29" s="44" t="n"/>
      <c r="D29" s="53">
        <f>SUM(WasteCost)</f>
        <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2" customWidth="1" min="1" max="1"/>
    <col width="20" customWidth="1" min="2" max="2"/>
    <col width="18" customWidth="1" min="3" max="3"/>
    <col width="24" customWidth="1" min="4" max="4"/>
    <col width="14" customWidth="1" min="5" max="5"/>
    <col width="2" customWidth="1" min="6" max="6"/>
  </cols>
  <sheetData>
    <row r="1" ht="46" customHeight="1">
      <c r="A1" s="1" t="inlineStr">
        <is>
          <t xml:space="preserve">  🤝  CUSTOMERS</t>
        </is>
      </c>
    </row>
    <row r="2" ht="22" customHeight="1">
      <c r="A2" s="2" t="inlineStr">
        <is>
          <t xml:space="preserve">  Your regulars — what they order &amp; how to reach them. Repeat customers are your best marketing.</t>
        </is>
      </c>
    </row>
    <row r="3" ht="6" customHeight="1">
      <c r="A3" s="3" t="n"/>
      <c r="B3" s="3" t="n"/>
      <c r="C3" s="3" t="n"/>
      <c r="D3" s="3" t="n"/>
      <c r="E3" s="3" t="n"/>
    </row>
    <row r="4" ht="30" customHeight="1">
      <c r="B4" s="9" t="inlineStr">
        <is>
          <t>Customer</t>
        </is>
      </c>
      <c r="C4" s="9" t="inlineStr">
        <is>
          <t>Favorite</t>
        </is>
      </c>
      <c r="D4" s="9" t="inlineStr">
        <is>
          <t>Contact</t>
        </is>
      </c>
      <c r="E4" s="9" t="inlineStr">
        <is>
          <t>Status</t>
        </is>
      </c>
    </row>
    <row r="5">
      <c r="B5" s="46" t="inlineStr">
        <is>
          <t>Sarah M.</t>
        </is>
      </c>
      <c r="C5" s="46" t="inlineStr">
        <is>
          <t>Custom cakes</t>
        </is>
      </c>
      <c r="D5" s="46" t="inlineStr">
        <is>
          <t>sarah@mail.com</t>
        </is>
      </c>
      <c r="E5" s="48" t="inlineStr">
        <is>
          <t>Repeat</t>
        </is>
      </c>
    </row>
    <row r="6">
      <c r="B6" s="23" t="inlineStr">
        <is>
          <t>Mike R.</t>
        </is>
      </c>
      <c r="C6" s="23" t="inlineStr">
        <is>
          <t>Cookies</t>
        </is>
      </c>
      <c r="D6" s="23" t="inlineStr">
        <is>
          <t>mike@mail.com</t>
        </is>
      </c>
      <c r="E6" s="25" t="inlineStr">
        <is>
          <t>Repeat</t>
        </is>
      </c>
    </row>
    <row r="7">
      <c r="B7" s="46" t="inlineStr">
        <is>
          <t>Ana L.</t>
        </is>
      </c>
      <c r="C7" s="46" t="inlineStr">
        <is>
          <t>Cupcakes</t>
        </is>
      </c>
      <c r="D7" s="46" t="inlineStr">
        <is>
          <t>ana@mail.com</t>
        </is>
      </c>
      <c r="E7" s="48" t="inlineStr">
        <is>
          <t>New</t>
        </is>
      </c>
    </row>
    <row r="8">
      <c r="B8" s="23" t="inlineStr">
        <is>
          <t>Tom B.</t>
        </is>
      </c>
      <c r="C8" s="23" t="inlineStr">
        <is>
          <t>Pies</t>
        </is>
      </c>
      <c r="D8" s="23" t="inlineStr">
        <is>
          <t>tom@mail.com</t>
        </is>
      </c>
      <c r="E8" s="25" t="inlineStr">
        <is>
          <t>Repeat</t>
        </is>
      </c>
    </row>
    <row r="9">
      <c r="B9" s="46" t="inlineStr">
        <is>
          <t>Lily K.</t>
        </is>
      </c>
      <c r="C9" s="46" t="inlineStr">
        <is>
          <t>Macarons</t>
        </is>
      </c>
      <c r="D9" s="46" t="inlineStr">
        <is>
          <t>lily@mail.com</t>
        </is>
      </c>
      <c r="E9" s="48" t="inlineStr">
        <is>
          <t>New</t>
        </is>
      </c>
    </row>
    <row r="10">
      <c r="B10" s="23" t="n"/>
      <c r="C10" s="23" t="n"/>
      <c r="D10" s="23" t="n"/>
      <c r="E10" s="25" t="n"/>
    </row>
    <row r="11">
      <c r="B11" s="46" t="n"/>
      <c r="C11" s="46" t="n"/>
      <c r="D11" s="46" t="n"/>
      <c r="E11" s="48" t="n"/>
    </row>
    <row r="12">
      <c r="B12" s="23" t="n"/>
      <c r="C12" s="23" t="n"/>
      <c r="D12" s="23" t="n"/>
      <c r="E12" s="25" t="n"/>
    </row>
    <row r="13">
      <c r="B13" s="46" t="n"/>
      <c r="C13" s="46" t="n"/>
      <c r="D13" s="46" t="n"/>
      <c r="E13" s="48" t="n"/>
    </row>
    <row r="14">
      <c r="B14" s="23" t="n"/>
      <c r="C14" s="23" t="n"/>
      <c r="D14" s="23" t="n"/>
      <c r="E14" s="25" t="n"/>
    </row>
    <row r="15">
      <c r="B15" s="46" t="n"/>
      <c r="C15" s="46" t="n"/>
      <c r="D15" s="46" t="n"/>
      <c r="E15" s="48" t="n"/>
    </row>
    <row r="16">
      <c r="B16" s="23" t="n"/>
      <c r="C16" s="23" t="n"/>
      <c r="D16" s="23" t="n"/>
      <c r="E16" s="25" t="n"/>
    </row>
    <row r="17">
      <c r="B17" s="46" t="n"/>
      <c r="C17" s="46" t="n"/>
      <c r="D17" s="46" t="n"/>
      <c r="E17" s="48" t="n"/>
    </row>
    <row r="18">
      <c r="B18" s="23" t="n"/>
      <c r="C18" s="23" t="n"/>
      <c r="D18" s="23" t="n"/>
      <c r="E18" s="25" t="n"/>
    </row>
    <row r="19">
      <c r="B19" s="46" t="n"/>
      <c r="C19" s="46" t="n"/>
      <c r="D19" s="46" t="n"/>
      <c r="E19" s="48" t="n"/>
    </row>
    <row r="20">
      <c r="B20" s="23" t="n"/>
      <c r="C20" s="23" t="n"/>
      <c r="D20" s="23" t="n"/>
      <c r="E20" s="25" t="n"/>
    </row>
    <row r="21">
      <c r="B21" s="46" t="n"/>
      <c r="C21" s="46" t="n"/>
      <c r="D21" s="46" t="n"/>
      <c r="E21" s="48" t="n"/>
    </row>
    <row r="22">
      <c r="B22" s="23" t="n"/>
      <c r="C22" s="23" t="n"/>
      <c r="D22" s="23" t="n"/>
      <c r="E22" s="25" t="n"/>
    </row>
    <row r="23">
      <c r="B23" s="46" t="n"/>
      <c r="C23" s="46" t="n"/>
      <c r="D23" s="46" t="n"/>
      <c r="E23" s="48" t="n"/>
    </row>
    <row r="24">
      <c r="B24" s="23" t="n"/>
      <c r="C24" s="23" t="n"/>
      <c r="D24" s="23" t="n"/>
      <c r="E24" s="25" t="n"/>
    </row>
    <row r="25">
      <c r="B25" s="46" t="n"/>
      <c r="C25" s="46" t="n"/>
      <c r="D25" s="46" t="n"/>
      <c r="E25" s="48" t="n"/>
    </row>
    <row r="26">
      <c r="B26" s="23" t="n"/>
      <c r="C26" s="23" t="n"/>
      <c r="D26" s="23" t="n"/>
      <c r="E26" s="25" t="n"/>
    </row>
    <row r="27">
      <c r="B27" s="46" t="n"/>
      <c r="C27" s="46" t="n"/>
      <c r="D27" s="46" t="n"/>
      <c r="E27" s="48" t="n"/>
    </row>
    <row r="28">
      <c r="B28" s="23" t="n"/>
      <c r="C28" s="23" t="n"/>
      <c r="D28" s="23" t="n"/>
      <c r="E28" s="25" t="n"/>
    </row>
  </sheetData>
  <mergeCells count="2">
    <mergeCell ref="A2:E2"/>
    <mergeCell ref="A1:E1"/>
  </mergeCells>
  <conditionalFormatting sqref="E5:E28">
    <cfRule type="cellIs" priority="1" operator="equal" dxfId="0">
      <formula>"Repeat"</formula>
    </cfRule>
    <cfRule type="cellIs" priority="2" operator="equal" dxfId="1">
      <formula>"New"</formula>
    </cfRule>
  </conditionalFormatting>
  <dataValidations count="1">
    <dataValidation sqref="E5:E28" showDropDown="0" showInputMessage="0" showErrorMessage="0" allowBlank="1" type="list">
      <formula1>=StatusList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6" customWidth="1" min="3" max="3"/>
    <col width="16" customWidth="1" min="4" max="4"/>
    <col width="14" customWidth="1" min="5" max="5"/>
    <col width="2" customWidth="1" min="6" max="6"/>
  </cols>
  <sheetData>
    <row r="1" ht="46" customHeight="1">
      <c r="A1" s="1" t="inlineStr">
        <is>
          <t xml:space="preserve">  📊  MONTHLY SUMMARY</t>
        </is>
      </c>
    </row>
    <row r="2" ht="22" customHeight="1">
      <c r="A2" s="2" t="inlineStr">
        <is>
          <t xml:space="preserve">  Income, expenses &amp; profit by month — watch the busy season and your profit grow.</t>
        </is>
      </c>
    </row>
    <row r="3" ht="6" customHeight="1">
      <c r="A3" s="3" t="n"/>
      <c r="B3" s="3" t="n"/>
      <c r="C3" s="3" t="n"/>
      <c r="D3" s="3" t="n"/>
      <c r="E3" s="3" t="n"/>
    </row>
    <row r="4" ht="30" customHeight="1">
      <c r="B4" s="9" t="inlineStr">
        <is>
          <t>Month</t>
        </is>
      </c>
      <c r="C4" s="9" t="inlineStr">
        <is>
          <t>Income</t>
        </is>
      </c>
      <c r="D4" s="9" t="inlineStr">
        <is>
          <t>Expenses</t>
        </is>
      </c>
      <c r="E4" s="9" t="inlineStr">
        <is>
          <t>Profit</t>
        </is>
      </c>
    </row>
    <row r="5">
      <c r="B5" s="20" t="inlineStr">
        <is>
          <t>Jul</t>
        </is>
      </c>
      <c r="C5" s="32" t="n">
        <v>2450</v>
      </c>
      <c r="D5" s="32" t="n">
        <v>1120</v>
      </c>
      <c r="E5" s="37">
        <f>C5-D5</f>
        <v/>
      </c>
    </row>
    <row r="6">
      <c r="B6" s="23" t="inlineStr">
        <is>
          <t>Aug</t>
        </is>
      </c>
      <c r="C6" s="29" t="n">
        <v>2680</v>
      </c>
      <c r="D6" s="29" t="n">
        <v>1180</v>
      </c>
      <c r="E6" s="39">
        <f>C6-D6</f>
        <v/>
      </c>
    </row>
    <row r="7">
      <c r="B7" s="20" t="inlineStr">
        <is>
          <t>Sep</t>
        </is>
      </c>
      <c r="C7" s="32" t="n">
        <v>2908</v>
      </c>
      <c r="D7" s="32" t="n">
        <v>1250</v>
      </c>
      <c r="E7" s="37">
        <f>C7-D7</f>
        <v/>
      </c>
    </row>
    <row r="8">
      <c r="B8" s="23" t="inlineStr">
        <is>
          <t>Oct</t>
        </is>
      </c>
      <c r="C8" s="29" t="n">
        <v>3200</v>
      </c>
      <c r="D8" s="29" t="n">
        <v>1340</v>
      </c>
      <c r="E8" s="39">
        <f>C8-D8</f>
        <v/>
      </c>
    </row>
    <row r="9">
      <c r="B9" s="20" t="inlineStr">
        <is>
          <t>Nov</t>
        </is>
      </c>
      <c r="C9" s="32" t="n">
        <v>3850</v>
      </c>
      <c r="D9" s="32" t="n">
        <v>1520</v>
      </c>
      <c r="E9" s="37">
        <f>C9-D9</f>
        <v/>
      </c>
    </row>
    <row r="10">
      <c r="B10" s="23" t="inlineStr">
        <is>
          <t>Dec</t>
        </is>
      </c>
      <c r="C10" s="29" t="n">
        <v>4600</v>
      </c>
      <c r="D10" s="29" t="n">
        <v>1780</v>
      </c>
      <c r="E10" s="39">
        <f>C10-D10</f>
        <v/>
      </c>
    </row>
  </sheetData>
  <mergeCells count="2">
    <mergeCell ref="A2:E2"/>
    <mergeCell ref="A1:E1"/>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 customWidth="1" min="1" max="1"/>
    <col width="28" customWidth="1" min="2" max="2"/>
    <col width="20" customWidth="1" min="3" max="3"/>
    <col width="3" customWidth="1" min="4" max="4"/>
    <col width="16" customWidth="1" min="5" max="5"/>
    <col width="16" customWidth="1" min="6" max="6"/>
    <col width="16" customWidth="1" min="7" max="7"/>
    <col width="16" customWidth="1" min="8" max="8"/>
    <col width="16" customWidth="1" min="9" max="9"/>
    <col width="16" customWidth="1" min="10" max="10"/>
  </cols>
  <sheetData>
    <row r="1" ht="46" customHeight="1">
      <c r="A1" s="1" t="inlineStr">
        <is>
          <t xml:space="preserve">  ⚙  SETTINGS</t>
        </is>
      </c>
    </row>
    <row r="2" ht="22" customHeight="1">
      <c r="A2" s="2" t="inlineStr">
        <is>
          <t xml:space="preserve">  Set your targets &amp; lists once — every tab follows.</t>
        </is>
      </c>
    </row>
    <row r="3" ht="6" customHeight="1">
      <c r="A3" s="3" t="n"/>
      <c r="B3" s="3" t="n"/>
      <c r="C3" s="3" t="n"/>
      <c r="D3" s="3" t="n"/>
      <c r="E3" s="3" t="n"/>
      <c r="F3" s="3" t="n"/>
      <c r="G3" s="3" t="n"/>
      <c r="H3" s="3" t="n"/>
      <c r="I3" s="3" t="n"/>
      <c r="J3" s="3" t="n"/>
    </row>
    <row r="5">
      <c r="B5" s="7" t="inlineStr">
        <is>
          <t>YOUR TARGETS</t>
        </is>
      </c>
      <c r="E5" s="4" t="inlineStr">
        <is>
          <t>DROPDOWN LISTS</t>
        </is>
      </c>
    </row>
    <row r="6">
      <c r="B6" s="33" t="inlineStr">
        <is>
          <t>Bakery name</t>
        </is>
      </c>
      <c r="C6" s="54" t="inlineStr">
        <is>
          <t>Sugar &amp; Thyme</t>
        </is>
      </c>
      <c r="E6" s="9" t="inlineStr">
        <is>
          <t>Unit</t>
        </is>
      </c>
      <c r="F6" s="9" t="inlineStr">
        <is>
          <t>Status</t>
        </is>
      </c>
      <c r="G6" s="9" t="inlineStr">
        <is>
          <t>Allergen</t>
        </is>
      </c>
      <c r="H6" s="9" t="inlineStr">
        <is>
          <t>Yes / No</t>
        </is>
      </c>
    </row>
    <row r="7">
      <c r="B7" s="33" t="inlineStr">
        <is>
          <t>Owner</t>
        </is>
      </c>
      <c r="C7" s="54" t="inlineStr">
        <is>
          <t>Mel</t>
        </is>
      </c>
      <c r="E7" s="20" t="inlineStr">
        <is>
          <t>each</t>
        </is>
      </c>
      <c r="F7" s="20" t="inlineStr">
        <is>
          <t>Confirmed</t>
        </is>
      </c>
      <c r="G7" s="20" t="inlineStr">
        <is>
          <t>Wheat/Gluten</t>
        </is>
      </c>
      <c r="H7" s="20" t="inlineStr">
        <is>
          <t>Yes</t>
        </is>
      </c>
    </row>
    <row r="8">
      <c r="B8" s="33" t="inlineStr">
        <is>
          <t>Target food-cost %</t>
        </is>
      </c>
      <c r="C8" s="55" t="n">
        <v>0.25</v>
      </c>
      <c r="E8" s="20" t="inlineStr">
        <is>
          <t>dozen</t>
        </is>
      </c>
      <c r="F8" s="20" t="inlineStr">
        <is>
          <t>Deposit</t>
        </is>
      </c>
      <c r="G8" s="20" t="inlineStr">
        <is>
          <t>Eggs</t>
        </is>
      </c>
      <c r="H8" s="20" t="inlineStr">
        <is>
          <t>No</t>
        </is>
      </c>
    </row>
    <row r="9">
      <c r="B9" s="33" t="inlineStr">
        <is>
          <t>Margin goal %</t>
        </is>
      </c>
      <c r="C9" s="55" t="n">
        <v>0.7</v>
      </c>
      <c r="E9" s="20" t="inlineStr">
        <is>
          <t>loaf</t>
        </is>
      </c>
      <c r="F9" s="20" t="inlineStr">
        <is>
          <t>Inquiry</t>
        </is>
      </c>
      <c r="G9" s="20" t="inlineStr">
        <is>
          <t>Dairy</t>
        </is>
      </c>
    </row>
    <row r="10">
      <c r="B10" s="33" t="inlineStr">
        <is>
          <t>Your hourly-wage goal</t>
        </is>
      </c>
      <c r="C10" s="32" t="n">
        <v>20</v>
      </c>
      <c r="E10" s="20" t="inlineStr">
        <is>
          <t>cake</t>
        </is>
      </c>
      <c r="F10" s="20" t="inlineStr">
        <is>
          <t>Delivered</t>
        </is>
      </c>
      <c r="G10" s="20" t="inlineStr">
        <is>
          <t>Nuts</t>
        </is>
      </c>
    </row>
    <row r="11">
      <c r="B11" s="33" t="inlineStr">
        <is>
          <t>Monthly profit goal</t>
        </is>
      </c>
      <c r="C11" s="32" t="n">
        <v>1500</v>
      </c>
      <c r="E11" s="20" t="inlineStr">
        <is>
          <t>batch</t>
        </is>
      </c>
      <c r="G11" s="20" t="inlineStr">
        <is>
          <t>Soy</t>
        </is>
      </c>
    </row>
    <row r="12">
      <c r="B12" s="33" t="inlineStr">
        <is>
          <t>Waste limit %</t>
        </is>
      </c>
      <c r="C12" s="55" t="n">
        <v>0.05</v>
      </c>
      <c r="E12" s="20" t="inlineStr">
        <is>
          <t>cup</t>
        </is>
      </c>
      <c r="G12" s="20" t="inlineStr">
        <is>
          <t>None</t>
        </is>
      </c>
    </row>
    <row r="13">
      <c r="B13" s="33" t="inlineStr">
        <is>
          <t>Currency</t>
        </is>
      </c>
      <c r="C13" s="54" t="inlineStr">
        <is>
          <t>USD ($)</t>
        </is>
      </c>
      <c r="E13" s="20" t="inlineStr">
        <is>
          <t>lb</t>
        </is>
      </c>
    </row>
    <row r="14">
      <c r="E14" s="20" t="inlineStr">
        <is>
          <t>oz</t>
        </is>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2026-07-22T14:42:02Z</dcterms:created>
  <dcterms:modified xsi:type="dcterms:W3CDTF">2026-07-22T14:42:02Z</dcterms:modified>
</cp:coreProperties>
</file>