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Cost Per Mile" sheetId="3" state="visible" r:id="rId3"/>
    <sheet name="Fixed Costs" sheetId="4" state="visible" r:id="rId4"/>
    <sheet name="Variable Costs" sheetId="5" state="visible" r:id="rId5"/>
    <sheet name="Loads" sheetId="6" state="visible" r:id="rId6"/>
    <sheet name="Settlements" sheetId="7" state="visible" r:id="rId7"/>
    <sheet name="Fuel Log" sheetId="8" state="visible" r:id="rId8"/>
    <sheet name="Maintenance" sheetId="9" state="visible" r:id="rId9"/>
    <sheet name="Truck &amp; Trailer" sheetId="10" state="visible" r:id="rId10"/>
    <sheet name="IFTA &amp; Miles" sheetId="11" state="visible" r:id="rId11"/>
    <sheet name="Reserve Fund" sheetId="12" state="visible" r:id="rId12"/>
    <sheet name="Monthly Summary" sheetId="13" state="visible" r:id="rId13"/>
    <sheet name="Settings" sheetId="14" state="visible" r:id="rId14"/>
  </sheets>
  <definedNames>
    <definedName name="Carrier">Settings!$C$6</definedName>
    <definedName name="Owner">Settings!$C$7</definedName>
    <definedName name="MPG">Settings!$C$8</definedName>
    <definedName name="DieselPrice">Settings!$C$9</definedName>
    <definedName name="PPMGoal">Settings!$C$10</definedName>
    <definedName name="MarginGoal">Settings!$C$11</definedName>
    <definedName name="DeadheadGoal">Settings!$C$12</definedName>
    <definedName name="CoverGoal">Settings!$C$13</definedName>
    <definedName name="MPGGoal">Settings!$C$14</definedName>
    <definedName name="ReserveGoal">Settings!$C$15</definedName>
    <definedName name="LoadedMiles">Settings!$C$16</definedName>
    <definedName name="DeadheadMiles">Settings!$C$17</definedName>
    <definedName name="LoadStatusList">Settings!$E$7:$E$11</definedName>
    <definedName name="EquipTypeList">Settings!$F$7:$F$12</definedName>
    <definedName name="MaintTypeList">Settings!$G$7:$G$13</definedName>
    <definedName name="YesNoList">Settings!$H$7:$H$8</definedName>
    <definedName name="TotalMiles">'Cost Per Mile'!$C$8</definedName>
    <definedName name="DeadheadPct">'Cost Per Mile'!$C$9</definedName>
    <definedName name="TotalCPM">'Cost Per Mile'!$C$14</definedName>
    <definedName name="TotalCostMonth">'Cost Per Mile'!$C$15</definedName>
    <definedName name="CostPerLoaded">'Cost Per Mile'!$C$19</definedName>
    <definedName name="RatePerMile">'Cost Per Mile'!$C$23</definedName>
    <definedName name="ProfitPerMile">'Cost Per Mile'!$C$24</definedName>
    <definedName name="CoverRatio">'Cost Per Mile'!$C$25</definedName>
    <definedName name="FixedLines">'Fixed Costs'!$C$5:$C$11</definedName>
    <definedName name="FixedTotal">'Fixed Costs'!$C$12</definedName>
    <definedName name="FixedCPM">'Fixed Costs'!$C$15</definedName>
    <definedName name="FuelCPM">'Variable Costs'!$C$8</definedName>
    <definedName name="VarLines">'Variable Costs'!$C$12:$C$15</definedName>
    <definedName name="VarCPM">'Variable Costs'!$C$16</definedName>
    <definedName name="VarTotal">'Variable Costs'!$D$16</definedName>
    <definedName name="LoadLoaded">'Loads'!$E$5:$E$16</definedName>
    <definedName name="LoadDead">'Loads'!$F$5:$F$16</definedName>
    <definedName name="LoadRev">'Loads'!$H$5:$H$16</definedName>
    <definedName name="LoadAllIn">'Loads'!$I$5:$I$16</definedName>
    <definedName name="MonthlyRevenue">'Loads'!$H$17</definedName>
    <definedName name="SetGross">'Settlements'!$C$5:$C$44</definedName>
    <definedName name="SetDed">'Settlements'!$D$5:$D$44</definedName>
    <definedName name="SetNet">'Settlements'!$E$5:$E$44</definedName>
    <definedName name="SettledNet">'Settlements'!$E$46</definedName>
    <definedName name="FuelGal">'Fuel Log'!$D$5:$D$12</definedName>
    <definedName name="FuelCost">'Fuel Log'!$F$5:$F$12</definedName>
    <definedName name="GallonsMonth">'Fuel Log'!$D$13</definedName>
    <definedName name="FuelSpend">'Fuel Log'!$F$13</definedName>
    <definedName name="ActualMPG">'Fuel Log'!$F$15</definedName>
    <definedName name="MaintCost">'Maintenance'!$E$5:$E$44</definedName>
    <definedName name="MaintSpend">'Maintenance'!$E$46</definedName>
    <definedName name="EquipValue">'Truck &amp; Trailer'!$D$5:$D$44</definedName>
    <definedName name="EquipPay">'Truck &amp; Trailer'!$E$5:$E$44</definedName>
    <definedName name="EquipPayTotal">'Truck &amp; Trailer'!$E$46</definedName>
    <definedName name="IftaMiles">'IFTA &amp; Miles'!$C$5:$C$13</definedName>
    <definedName name="IftaTotal">'IFTA &amp; Miles'!$C$14</definedName>
    <definedName name="ResTarget">'Reserve Fund'!$C$5:$C$7</definedName>
    <definedName name="ResSaved">'Reserve Fund'!$D$5:$D$7</definedName>
    <definedName name="ResPct">'Reserve Fund'!$E$5:$E$7</definedName>
    <definedName name="Reserve">'Reserve Fund'!$D$8</definedName>
    <definedName name="MonthlyProfit">'Monthly Summary'!$C$8</definedName>
    <definedName name="NetMargin">'Monthly Summary'!$C$9</definedName>
    <definedName name="RunRate">'Monthly Summary'!$C$10</definedName>
    <definedName name="RevTrend">'Monthly Summary'!$C$14:$C$19</definedName>
    <definedName name="HealthRange">'Dashboard'!$C$13:$C$18</definedName>
  </definedNames>
  <calcPr calcId="124519" fullCalcOnLoad="1"/>
</workbook>
</file>

<file path=xl/styles.xml><?xml version="1.0" encoding="utf-8"?>
<styleSheet xmlns="http://schemas.openxmlformats.org/spreadsheetml/2006/main">
  <numFmts count="7">
    <numFmt numFmtId="164" formatCode="0.0"/>
    <numFmt numFmtId="165" formatCode="&quot;$&quot;#,##0.00"/>
    <numFmt numFmtId="166" formatCode="&quot;$&quot;#,##0"/>
    <numFmt numFmtId="167" formatCode="0.0%"/>
    <numFmt numFmtId="168" formatCode="&quot;$&quot;#,##0.000"/>
    <numFmt numFmtId="169" formatCode="0.00&quot;×&quot;"/>
    <numFmt numFmtId="170" formatCode="#,##0.0"/>
  </numFmts>
  <fonts count="18">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sz val="13"/>
    </font>
    <font>
      <b val="1"/>
      <color rgb="001B4F48"/>
      <sz val="12"/>
    </font>
    <font>
      <b val="1"/>
      <color rgb="001B4F48"/>
      <sz val="14"/>
    </font>
    <font>
      <b val="1"/>
      <color rgb="001B4F48"/>
      <sz val="16"/>
    </font>
    <font>
      <b val="1"/>
      <color rgb="001B4F48"/>
    </font>
    <font>
      <b val="1"/>
      <color rgb="00C94C4C"/>
    </font>
    <font>
      <b val="1"/>
      <color rgb="00937356"/>
      <sz val="9"/>
    </font>
    <font>
      <b val="1"/>
      <color rgb="001B4F48"/>
      <sz val="18"/>
    </font>
  </fonts>
  <fills count="11">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BE6E6"/>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88">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6" fillId="10" borderId="3" applyAlignment="1" pivotButton="0" quotePrefix="0" xfId="0">
      <alignment horizontal="center" vertical="center"/>
    </xf>
    <xf numFmtId="0" fontId="0" fillId="10" borderId="3" pivotButton="0" quotePrefix="0" xfId="0"/>
    <xf numFmtId="166" fontId="17" fillId="10" borderId="2" applyAlignment="1" pivotButton="0" quotePrefix="0" xfId="0">
      <alignment horizontal="center" vertical="center"/>
    </xf>
    <xf numFmtId="0" fontId="0" fillId="10" borderId="2" pivotButton="0" quotePrefix="0" xfId="0"/>
    <xf numFmtId="168" fontId="17" fillId="10" borderId="2" applyAlignment="1" pivotButton="0" quotePrefix="0" xfId="0">
      <alignment horizontal="center" vertical="center"/>
    </xf>
    <xf numFmtId="165" fontId="17" fillId="10" borderId="2" applyAlignment="1" pivotButton="0" quotePrefix="0" xfId="0">
      <alignment horizontal="center" vertical="center"/>
    </xf>
    <xf numFmtId="3" fontId="17" fillId="10" borderId="2" applyAlignment="1" pivotButton="0" quotePrefix="0" xfId="0">
      <alignment horizontal="center" vertical="center"/>
    </xf>
    <xf numFmtId="167" fontId="17" fillId="10" borderId="2" applyAlignment="1" pivotButton="0" quotePrefix="0" xfId="0">
      <alignment horizontal="center" vertical="center"/>
    </xf>
    <xf numFmtId="9" fontId="17" fillId="10"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9" borderId="2" applyAlignment="1" pivotButton="0" quotePrefix="0" xfId="7">
      <alignment horizontal="left" vertical="center" wrapText="1" indent="1"/>
    </xf>
    <xf numFmtId="9"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0" fontId="8" fillId="4" borderId="2" applyAlignment="1" pivotButton="0" quotePrefix="0" xfId="9">
      <alignment horizontal="left" vertical="center" indent="1"/>
    </xf>
    <xf numFmtId="3" fontId="7" fillId="0" borderId="2" applyAlignment="1" pivotButton="0" quotePrefix="0" xfId="10">
      <alignment horizontal="left" vertical="center" indent="1"/>
    </xf>
    <xf numFmtId="3" fontId="7" fillId="8" borderId="2" applyAlignment="1" pivotButton="0" quotePrefix="0" xfId="10">
      <alignment horizontal="left" vertical="center" indent="1"/>
    </xf>
    <xf numFmtId="3" fontId="10" fillId="3" borderId="2" applyAlignment="1" pivotButton="0" quotePrefix="0" xfId="6">
      <alignment horizontal="center" vertical="center" wrapText="1"/>
    </xf>
    <xf numFmtId="167" fontId="11" fillId="7" borderId="2" applyAlignment="1" pivotButton="0" quotePrefix="0" xfId="6">
      <alignment horizontal="center" vertical="center" wrapText="1"/>
    </xf>
    <xf numFmtId="168" fontId="7" fillId="0" borderId="2" applyAlignment="1" pivotButton="0" quotePrefix="0" xfId="10">
      <alignment horizontal="left" vertical="center" indent="1"/>
    </xf>
    <xf numFmtId="168" fontId="12" fillId="3" borderId="2" applyAlignment="1" pivotButton="0" quotePrefix="0" xfId="6">
      <alignment horizontal="center" vertical="center" wrapText="1"/>
    </xf>
    <xf numFmtId="166" fontId="10" fillId="3" borderId="2" applyAlignment="1" pivotButton="0" quotePrefix="0" xfId="6">
      <alignment horizontal="center" vertical="center" wrapText="1"/>
    </xf>
    <xf numFmtId="165" fontId="13" fillId="6" borderId="2" applyAlignment="1" pivotButton="0" quotePrefix="0" xfId="6">
      <alignment horizontal="center" vertical="center" wrapText="1"/>
    </xf>
    <xf numFmtId="165" fontId="12" fillId="8" borderId="2" applyAlignment="1" pivotButton="0" quotePrefix="0" xfId="6">
      <alignment horizontal="center" vertical="center" wrapText="1"/>
    </xf>
    <xf numFmtId="165" fontId="7" fillId="3" borderId="2" applyAlignment="1" pivotButton="0" quotePrefix="0" xfId="8">
      <alignment horizontal="center" vertical="center"/>
    </xf>
    <xf numFmtId="168" fontId="13" fillId="6" borderId="2" applyAlignment="1" pivotButton="0" quotePrefix="0" xfId="6">
      <alignment horizontal="center" vertical="center" wrapText="1"/>
    </xf>
    <xf numFmtId="169" fontId="10" fillId="6" borderId="2" applyAlignment="1" pivotButton="0" quotePrefix="0" xfId="6">
      <alignment horizontal="center" vertical="center" wrapText="1"/>
    </xf>
    <xf numFmtId="165" fontId="7" fillId="0" borderId="2" applyAlignment="1" pivotButton="0" quotePrefix="0" xfId="10">
      <alignment horizontal="left" vertical="center" indent="1"/>
    </xf>
    <xf numFmtId="165" fontId="7" fillId="8" borderId="2" applyAlignment="1" pivotButton="0" quotePrefix="0" xfId="10">
      <alignment horizontal="left" vertical="center" indent="1"/>
    </xf>
    <xf numFmtId="166" fontId="7" fillId="7" borderId="2" applyAlignment="1" pivotButton="0" quotePrefix="0" xfId="10">
      <alignment horizontal="left" vertical="center" indent="1"/>
    </xf>
    <xf numFmtId="166" fontId="7" fillId="3" borderId="2" applyAlignment="1" pivotButton="0" quotePrefix="0" xfId="8">
      <alignment horizontal="center" vertical="center"/>
    </xf>
    <xf numFmtId="166" fontId="6" fillId="0" borderId="2" applyAlignment="1" pivotButton="0" quotePrefix="0" xfId="6">
      <alignment horizontal="center" vertical="center" wrapText="1"/>
    </xf>
    <xf numFmtId="166" fontId="7" fillId="9" borderId="2" applyAlignment="1" pivotButton="0" quotePrefix="0" xfId="8">
      <alignment horizontal="center" vertical="center"/>
    </xf>
    <xf numFmtId="166" fontId="6" fillId="9" borderId="2" applyAlignment="1" pivotButton="0" quotePrefix="0" xfId="6">
      <alignment horizontal="center" vertical="center" wrapText="1"/>
    </xf>
    <xf numFmtId="166" fontId="11" fillId="6" borderId="2" applyAlignment="1" pivotButton="0" quotePrefix="0" xfId="6">
      <alignment horizontal="center" vertical="center" wrapText="1"/>
    </xf>
    <xf numFmtId="168" fontId="12" fillId="6" borderId="2" applyAlignment="1" pivotButton="0" quotePrefix="0" xfId="6">
      <alignment horizontal="center" vertical="center" wrapText="1"/>
    </xf>
    <xf numFmtId="164" fontId="7" fillId="0" borderId="2" applyAlignment="1" pivotButton="0" quotePrefix="0" xfId="10">
      <alignment horizontal="left" vertical="center" indent="1"/>
    </xf>
    <xf numFmtId="168" fontId="10" fillId="6" borderId="2" applyAlignment="1" pivotButton="0" quotePrefix="0" xfId="6">
      <alignment horizontal="center" vertical="center" wrapText="1"/>
    </xf>
    <xf numFmtId="168" fontId="6" fillId="0" borderId="2" applyAlignment="1" pivotButton="0" quotePrefix="0" xfId="6">
      <alignment horizontal="center" vertical="center" wrapText="1"/>
    </xf>
    <xf numFmtId="168" fontId="7" fillId="9" borderId="2" applyAlignment="1" pivotButton="0" quotePrefix="0" xfId="8">
      <alignment horizontal="center" vertical="center"/>
    </xf>
    <xf numFmtId="168" fontId="7" fillId="3" borderId="2" applyAlignment="1" pivotButton="0" quotePrefix="0" xfId="8">
      <alignment horizontal="center" vertical="center"/>
    </xf>
    <xf numFmtId="3" fontId="7" fillId="3" borderId="2" applyAlignment="1" pivotButton="0" quotePrefix="0" xfId="8">
      <alignment horizontal="center" vertical="center"/>
    </xf>
    <xf numFmtId="165" fontId="6" fillId="0" borderId="2" applyAlignment="1" pivotButton="0" quotePrefix="0" xfId="6">
      <alignment horizontal="center" vertical="center" wrapText="1"/>
    </xf>
    <xf numFmtId="3" fontId="7" fillId="9" borderId="2" applyAlignment="1" pivotButton="0" quotePrefix="0" xfId="8">
      <alignment horizontal="center" vertical="center"/>
    </xf>
    <xf numFmtId="165" fontId="7" fillId="9" borderId="2" applyAlignment="1" pivotButton="0" quotePrefix="0" xfId="8">
      <alignment horizontal="center" vertical="center"/>
    </xf>
    <xf numFmtId="165" fontId="6" fillId="9" borderId="2" applyAlignment="1" pivotButton="0" quotePrefix="0" xfId="6">
      <alignment horizontal="center" vertical="center" wrapText="1"/>
    </xf>
    <xf numFmtId="0" fontId="6" fillId="3" borderId="2" applyAlignment="1" pivotButton="0" quotePrefix="0" xfId="6">
      <alignment horizontal="center" vertical="center" wrapText="1"/>
    </xf>
    <xf numFmtId="3" fontId="14" fillId="3" borderId="2" applyAlignment="1" pivotButton="0" quotePrefix="0" xfId="6">
      <alignment horizontal="center" vertical="center" wrapText="1"/>
    </xf>
    <xf numFmtId="165" fontId="11" fillId="6" borderId="2" applyAlignment="1" pivotButton="0" quotePrefix="0" xfId="6">
      <alignment horizontal="center" vertical="center" wrapText="1"/>
    </xf>
    <xf numFmtId="0" fontId="6" fillId="10" borderId="2" applyAlignment="1" pivotButton="0" quotePrefix="0" xfId="6">
      <alignment horizontal="center" vertical="center" wrapText="1"/>
    </xf>
    <xf numFmtId="166" fontId="6" fillId="10" borderId="2" applyAlignment="1" pivotButton="0" quotePrefix="0" xfId="6">
      <alignment horizontal="center" vertical="center" wrapText="1"/>
    </xf>
    <xf numFmtId="0" fontId="6" fillId="10" borderId="2" applyAlignment="1" pivotButton="0" quotePrefix="0" xfId="7">
      <alignment horizontal="left" vertical="center" wrapText="1" indent="1"/>
    </xf>
    <xf numFmtId="166" fontId="14" fillId="3" borderId="2" applyAlignment="1" pivotButton="0" quotePrefix="0" xfId="6">
      <alignment horizontal="center" vertical="center" wrapText="1"/>
    </xf>
    <xf numFmtId="166" fontId="15" fillId="8" borderId="2" applyAlignment="1" pivotButton="0" quotePrefix="0" xfId="6">
      <alignment horizontal="center" vertical="center" wrapText="1"/>
    </xf>
    <xf numFmtId="3" fontId="6" fillId="9" borderId="2" applyAlignment="1" pivotButton="0" quotePrefix="0" xfId="6">
      <alignment horizontal="center" vertical="center" wrapText="1"/>
    </xf>
    <xf numFmtId="3" fontId="6" fillId="0" borderId="2" applyAlignment="1" pivotButton="0" quotePrefix="0" xfId="6">
      <alignment horizontal="center" vertical="center" wrapText="1"/>
    </xf>
    <xf numFmtId="2" fontId="12" fillId="6" borderId="2" applyAlignment="1" pivotButton="0" quotePrefix="0" xfId="6">
      <alignment horizontal="center" vertical="center" wrapText="1"/>
    </xf>
    <xf numFmtId="3" fontId="6" fillId="10" borderId="2" applyAlignment="1" pivotButton="0" quotePrefix="0" xfId="6">
      <alignment horizontal="center" vertical="center" wrapText="1"/>
    </xf>
    <xf numFmtId="166" fontId="11" fillId="3" borderId="2" applyAlignment="1" pivotButton="0" quotePrefix="0" xfId="6">
      <alignment horizontal="center" vertical="center" wrapText="1"/>
    </xf>
    <xf numFmtId="168" fontId="7" fillId="6" borderId="2" applyAlignment="1" pivotButton="0" quotePrefix="0" xfId="10">
      <alignment horizontal="left" vertical="center" indent="1"/>
    </xf>
    <xf numFmtId="170" fontId="6" fillId="0" borderId="2" applyAlignment="1" pivotButton="0" quotePrefix="0" xfId="6">
      <alignment horizontal="center" vertical="center" wrapText="1"/>
    </xf>
    <xf numFmtId="167" fontId="6" fillId="0" borderId="2" applyAlignment="1" pivotButton="0" quotePrefix="0" xfId="6">
      <alignment horizontal="center" vertical="center" wrapText="1"/>
    </xf>
    <xf numFmtId="170" fontId="6" fillId="9" borderId="2" applyAlignment="1" pivotButton="0" quotePrefix="0" xfId="6">
      <alignment horizontal="center" vertical="center" wrapText="1"/>
    </xf>
    <xf numFmtId="167" fontId="6" fillId="9" borderId="2" applyAlignment="1" pivotButton="0" quotePrefix="0" xfId="6">
      <alignment horizontal="center" vertical="center" wrapText="1"/>
    </xf>
    <xf numFmtId="3" fontId="11" fillId="3" borderId="2" applyAlignment="1" pivotButton="0" quotePrefix="0" xfId="6">
      <alignment horizontal="center" vertical="center" wrapText="1"/>
    </xf>
    <xf numFmtId="170" fontId="14" fillId="6" borderId="2" applyAlignment="1" pivotButton="0" quotePrefix="0" xfId="6">
      <alignment horizontal="center" vertical="center" wrapText="1"/>
    </xf>
    <xf numFmtId="9" fontId="11" fillId="7" borderId="2" applyAlignment="1" pivotButton="0" quotePrefix="0" xfId="6">
      <alignment horizontal="center" vertical="center" wrapText="1"/>
    </xf>
    <xf numFmtId="166" fontId="7" fillId="0" borderId="2" applyAlignment="1" pivotButton="0" quotePrefix="0" xfId="10">
      <alignment horizontal="left" vertical="center" indent="1"/>
    </xf>
    <xf numFmtId="166" fontId="13" fillId="6" borderId="2" applyAlignment="1" pivotButton="0" quotePrefix="0" xfId="6">
      <alignment horizontal="center" vertical="center" wrapText="1"/>
    </xf>
    <xf numFmtId="167" fontId="10" fillId="6" borderId="2" applyAlignment="1" pivotButton="0" quotePrefix="0" xfId="6">
      <alignment horizontal="center" vertical="center" wrapText="1"/>
    </xf>
    <xf numFmtId="166" fontId="12" fillId="3" borderId="2" applyAlignment="1" pivotButton="0" quotePrefix="0" xfId="6">
      <alignment horizontal="center" vertical="center" wrapText="1"/>
    </xf>
    <xf numFmtId="0" fontId="7" fillId="3" borderId="2" applyAlignment="1" pivotButton="0" quotePrefix="0" xfId="8">
      <alignment horizontal="center" vertical="center"/>
    </xf>
    <xf numFmtId="164" fontId="7" fillId="3" borderId="2" applyAlignment="1" pivotButton="0" quotePrefix="0" xfId="8">
      <alignment horizontal="center" vertical="center"/>
    </xf>
    <xf numFmtId="9" fontId="7" fillId="3" borderId="2" applyAlignment="1" pivotButton="0" quotePrefix="0" xfId="8">
      <alignment horizontal="center" vertical="center"/>
    </xf>
    <xf numFmtId="2"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1">
    <dxf>
      <font>
        <b val="1"/>
        <color rgb="00C94C4C"/>
      </font>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Revenue by Month</a:t>
            </a:r>
          </a:p>
        </rich>
      </tx>
    </title>
    <plotArea>
      <barChart>
        <barDir val="col"/>
        <grouping val="clustered"/>
        <ser>
          <idx val="0"/>
          <order val="0"/>
          <spPr>
            <a:ln>
              <a:prstDash val="solid"/>
            </a:ln>
          </spPr>
          <cat>
            <numRef>
              <f>'Monthly Summary'!$B$14:$B$19</f>
            </numRef>
          </cat>
          <val>
            <numRef>
              <f>'Monthly Summary'!$C$14:$C$19</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Miles by State</a:t>
            </a:r>
          </a:p>
        </rich>
      </tx>
    </title>
    <plotArea>
      <barChart>
        <barDir val="col"/>
        <grouping val="clustered"/>
        <ser>
          <idx val="0"/>
          <order val="0"/>
          <spPr>
            <a:ln>
              <a:prstDash val="solid"/>
            </a:ln>
          </spPr>
          <cat>
            <numRef>
              <f>'IFTA &amp; Miles'!$B$5:$B$13</f>
            </numRef>
          </cat>
          <val>
            <numRef>
              <f>'IFTA &amp; Miles'!$C$5:$C$13</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Revenue by Month</a:t>
            </a:r>
          </a:p>
        </rich>
      </tx>
    </title>
    <plotArea>
      <barChart>
        <barDir val="col"/>
        <grouping val="clustered"/>
        <ser>
          <idx val="0"/>
          <order val="0"/>
          <spPr>
            <a:ln>
              <a:prstDash val="solid"/>
            </a:ln>
          </spPr>
          <cat>
            <numRef>
              <f>'Monthly Summary'!$B$14:$B$19</f>
            </numRef>
          </cat>
          <val>
            <numRef>
              <f>'Monthly Summary'!$C$14:$C$19</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drawing" Target="/xl/drawings/drawing2.xml" Id="rId1" /></Relationships>
</file>

<file path=xl/worksheets/_rels/sheet1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TRUCKING OWNER-OPERATOR COMMAND CENTER™</t>
        </is>
      </c>
    </row>
    <row r="2" ht="24" customHeight="1">
      <c r="A2" s="2" t="inlineStr">
        <is>
          <t xml:space="preserve">  Know your cost per mile — or the load board sets your pay for you.</t>
        </is>
      </c>
    </row>
    <row r="3" ht="6" customHeight="1">
      <c r="A3" s="3" t="n"/>
      <c r="B3" s="3" t="n"/>
      <c r="C3" s="3" t="n"/>
    </row>
    <row r="5">
      <c r="B5" s="4" t="inlineStr">
        <is>
          <t>YOUR WHOLE TRUCK, IN ONE PLACE</t>
        </is>
      </c>
    </row>
    <row r="6" ht="22" customHeight="1">
      <c r="B6" s="5" t="inlineStr">
        <is>
          <t>There is exactly one number that decides whether an owner-operator makes money: cost per mile. Not the rate. Not the miles. The cost. And it has two halves — the fixed costs the truck racks up sitting still, spread across the miles you actually run, plus the variable cost every single mile burns. This workbook computes both, then does the part most cost-per-mile calculators skip: it charges your DEADHEAD miles too, because nobody paid you for them. Then run loads, settlements, fuel, maintenance, IFTA and a reserve fund — all in ONE premium Google Sheets &amp; Excel system.</t>
        </is>
      </c>
    </row>
    <row r="7" ht="22" customHeight="1">
      <c r="B7" s="6" t="n"/>
    </row>
    <row r="8" ht="22" customHeight="1">
      <c r="B8" s="6" t="n"/>
    </row>
    <row r="9" ht="22" customHeight="1">
      <c r="B9" s="6" t="n"/>
    </row>
    <row r="11">
      <c r="B11" s="7" t="inlineStr">
        <is>
          <t>START HERE — 6 QUICK STEPS</t>
        </is>
      </c>
    </row>
    <row r="12" ht="22" customHeight="1">
      <c r="B12" s="8" t="inlineStr">
        <is>
          <t>1.  Open Settings — set your MPG, diesel price and goals.</t>
        </is>
      </c>
    </row>
    <row r="13" ht="22" customHeight="1">
      <c r="B13" s="8" t="inlineStr">
        <is>
          <t>2.  Fixed Costs: list what the truck costs standing still.</t>
        </is>
      </c>
    </row>
    <row r="14" ht="22" customHeight="1">
      <c r="B14" s="8" t="inlineStr">
        <is>
          <t>3.  Variable Costs: fuel, maintenance, tires and tolls per mile.</t>
        </is>
      </c>
    </row>
    <row r="15" ht="22" customHeight="1">
      <c r="B15" s="8" t="inlineStr">
        <is>
          <t>4.  Enter your loaded and deadhead miles for the month.</t>
        </is>
      </c>
    </row>
    <row r="16" ht="22" customHeight="1">
      <c r="B16" s="8" t="inlineStr">
        <is>
          <t>5.  Read your TRUE cost per loaded mile — your rate floor.</t>
        </is>
      </c>
    </row>
    <row r="17" ht="22" customHeight="1">
      <c r="B17" s="8" t="inlineStr">
        <is>
          <t>6.  Check the Dashboard: profit per mile &amp; a Road Score.</t>
        </is>
      </c>
    </row>
    <row r="20" ht="26" customHeight="1">
      <c r="B20" s="9" t="inlineStr">
        <is>
          <t xml:space="preserve">  GOOD TO KNOW</t>
        </is>
      </c>
    </row>
    <row r="21" ht="22" customHeight="1">
      <c r="B21" s="10" t="inlineStr">
        <is>
          <t>Sample data for a fictional carrier (Redline Freight Co., owner-operator Wes) is included so you can see how it all connects — just type over it with your own numbers. The detail that catches everyone: your rate is paid on LOADED miles, but your costs run on TOTAL miles. Deadhead is not free — it burns fuel, wears tires and uses up the month. This workbook divides total cost by loaded miles, which is the only honest way to get a rate floor. Twelve matching printable pages (trip sheet, load worksheet, fuel log, PM schedule &amp; more) are included. This is a business &amp; organizing tool, not financial, tax, legal or DOT-compliance advice.</t>
        </is>
      </c>
    </row>
    <row r="22" ht="22" customHeight="1">
      <c r="B22" s="11" t="n"/>
    </row>
    <row r="23" ht="22" customHeight="1">
      <c r="B23" s="11" t="n"/>
    </row>
    <row r="25">
      <c r="B25" s="4" t="inlineStr">
        <is>
          <t>Deadhead is not free. Charge it, or the load board keeps the difference.</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TRUCKING OWNER-OPERATOR COMMAND CENTER™</t>
        </is>
      </c>
    </row>
    <row r="2" ht="24" customHeight="1">
      <c r="A2" s="2" t="inlineStr">
        <is>
          <t xml:space="preserve">  Cost per mile, profit per mile &amp; a Road Score — your whole truck, at a glance.</t>
        </is>
      </c>
    </row>
    <row r="3" ht="6" customHeight="1">
      <c r="A3" s="3" t="n"/>
      <c r="B3" s="3" t="n"/>
      <c r="C3" s="3" t="n"/>
      <c r="D3" s="3" t="n"/>
      <c r="E3" s="3" t="n"/>
      <c r="F3" s="3" t="n"/>
      <c r="G3" s="3" t="n"/>
      <c r="H3" s="3" t="n"/>
      <c r="I3" s="3" t="n"/>
      <c r="J3" s="3" t="n"/>
      <c r="K3" s="3" t="n"/>
      <c r="L3" s="3" t="n"/>
      <c r="M3" s="3" t="n"/>
      <c r="N3" s="3" t="n"/>
    </row>
    <row r="5" ht="18" customHeight="1">
      <c r="B5" s="12" t="inlineStr">
        <is>
          <t>FIXED / MONTH</t>
        </is>
      </c>
      <c r="C5" s="13" t="n"/>
      <c r="D5" s="12" t="inlineStr">
        <is>
          <t>FIXED COST / MILE</t>
        </is>
      </c>
      <c r="E5" s="13" t="n"/>
      <c r="F5" s="12" t="inlineStr">
        <is>
          <t>VARIABLE / MILE</t>
        </is>
      </c>
      <c r="G5" s="13" t="n"/>
      <c r="H5" s="12" t="inlineStr">
        <is>
          <t>COST PER MILE RUN</t>
        </is>
      </c>
      <c r="I5" s="13" t="n"/>
      <c r="J5" s="12" t="inlineStr">
        <is>
          <t>COST / LOADED MILE</t>
        </is>
      </c>
      <c r="K5" s="13" t="n"/>
      <c r="L5" s="12" t="inlineStr">
        <is>
          <t>RATE / LOADED MILE</t>
        </is>
      </c>
      <c r="M5" s="13" t="n"/>
    </row>
    <row r="6" ht="40" customHeight="1">
      <c r="B6" s="14">
        <f>FixedTotal</f>
        <v/>
      </c>
      <c r="C6" s="15" t="n"/>
      <c r="D6" s="16">
        <f>FixedCPM</f>
        <v/>
      </c>
      <c r="E6" s="15" t="n"/>
      <c r="F6" s="16">
        <f>VarCPM</f>
        <v/>
      </c>
      <c r="G6" s="15" t="n"/>
      <c r="H6" s="16">
        <f>TotalCPM</f>
        <v/>
      </c>
      <c r="I6" s="15" t="n"/>
      <c r="J6" s="17">
        <f>CostPerLoaded</f>
        <v/>
      </c>
      <c r="K6" s="15" t="n"/>
      <c r="L6" s="17">
        <f>RatePerMile</f>
        <v/>
      </c>
      <c r="M6" s="15" t="n"/>
    </row>
    <row r="8" ht="18" customHeight="1">
      <c r="B8" s="12" t="inlineStr">
        <is>
          <t>PROFIT / LOADED MILE</t>
        </is>
      </c>
      <c r="C8" s="13" t="n"/>
      <c r="D8" s="12" t="inlineStr">
        <is>
          <t>LOADED MILES</t>
        </is>
      </c>
      <c r="E8" s="13" t="n"/>
      <c r="F8" s="12" t="inlineStr">
        <is>
          <t>DEADHEAD</t>
        </is>
      </c>
      <c r="G8" s="13" t="n"/>
      <c r="H8" s="12" t="inlineStr">
        <is>
          <t>MONTHLY REVENUE</t>
        </is>
      </c>
      <c r="I8" s="13" t="n"/>
      <c r="J8" s="12" t="inlineStr">
        <is>
          <t>MONTHLY PROFIT</t>
        </is>
      </c>
      <c r="K8" s="13" t="n"/>
      <c r="L8" s="12" t="inlineStr">
        <is>
          <t>ROAD SCORE</t>
        </is>
      </c>
      <c r="M8" s="13" t="n"/>
    </row>
    <row r="9" ht="40" customHeight="1">
      <c r="B9" s="16">
        <f>ProfitPerMile</f>
        <v/>
      </c>
      <c r="C9" s="15" t="n"/>
      <c r="D9" s="18">
        <f>LoadedMiles</f>
        <v/>
      </c>
      <c r="E9" s="15" t="n"/>
      <c r="F9" s="19">
        <f>DeadheadPct</f>
        <v/>
      </c>
      <c r="G9" s="15" t="n"/>
      <c r="H9" s="14">
        <f>MonthlyRevenue</f>
        <v/>
      </c>
      <c r="I9" s="15" t="n"/>
      <c r="J9" s="14">
        <f>MonthlyProfit</f>
        <v/>
      </c>
      <c r="K9" s="15" t="n"/>
      <c r="L9" s="20">
        <f>IFERROR(AVERAGE(HealthRange),0)</f>
        <v/>
      </c>
      <c r="M9" s="15" t="n"/>
    </row>
    <row r="11" ht="26" customHeight="1">
      <c r="B11" s="4" t="inlineStr">
        <is>
          <t>ROAD HEALTH</t>
        </is>
      </c>
      <c r="H11" s="4" t="inlineStr">
        <is>
          <t>REVENUE BY MONTH</t>
        </is>
      </c>
    </row>
    <row r="12" ht="30" customHeight="1">
      <c r="B12" s="9" t="inlineStr">
        <is>
          <t>Check</t>
        </is>
      </c>
      <c r="C12" s="9" t="inlineStr">
        <is>
          <t>Score</t>
        </is>
      </c>
      <c r="D12" s="9" t="inlineStr">
        <is>
          <t>Status</t>
        </is>
      </c>
    </row>
    <row r="13">
      <c r="B13" s="21" t="inlineStr">
        <is>
          <t>Profit per mile healthy</t>
        </is>
      </c>
      <c r="C13" s="22">
        <f>IFERROR(MIN(ProfitPerMile/PPMGoal,1),0)</f>
        <v/>
      </c>
      <c r="D13" s="23">
        <f>IF(C13&gt;=0.85,"Strong",IF(C13&gt;=0.6,"OK","Watch"))</f>
        <v/>
      </c>
    </row>
    <row r="14">
      <c r="B14" s="24" t="inlineStr">
        <is>
          <t>Net margin healthy</t>
        </is>
      </c>
      <c r="C14" s="25">
        <f>IFERROR(MIN(NetMargin/MarginGoal,1),0)</f>
        <v/>
      </c>
      <c r="D14" s="26">
        <f>IF(C14&gt;=0.85,"Strong",IF(C14&gt;=0.6,"OK","Watch"))</f>
        <v/>
      </c>
    </row>
    <row r="15">
      <c r="B15" s="21" t="inlineStr">
        <is>
          <t>Deadhead under control</t>
        </is>
      </c>
      <c r="C15" s="22">
        <f>IF(DeadheadPct&lt;=DeadheadGoal,1,IFERROR(DeadheadGoal/DeadheadPct,0))</f>
        <v/>
      </c>
      <c r="D15" s="23">
        <f>IF(C15&gt;=0.85,"Strong",IF(C15&gt;=0.6,"OK","Watch"))</f>
        <v/>
      </c>
    </row>
    <row r="16">
      <c r="B16" s="24" t="inlineStr">
        <is>
          <t>Rate well above cost</t>
        </is>
      </c>
      <c r="C16" s="25">
        <f>IFERROR(MIN(CoverRatio/CoverGoal,1),0)</f>
        <v/>
      </c>
      <c r="D16" s="26">
        <f>IF(C16&gt;=0.85,"Strong",IF(C16&gt;=0.6,"OK","Watch"))</f>
        <v/>
      </c>
    </row>
    <row r="17">
      <c r="B17" s="21" t="inlineStr">
        <is>
          <t>Fuel economy on target</t>
        </is>
      </c>
      <c r="C17" s="22">
        <f>IFERROR(MIN(MPG/MPGGoal,1),0)</f>
        <v/>
      </c>
      <c r="D17" s="23">
        <f>IF(C17&gt;=0.85,"Strong",IF(C17&gt;=0.6,"OK","Watch"))</f>
        <v/>
      </c>
    </row>
    <row r="18">
      <c r="B18" s="24" t="inlineStr">
        <is>
          <t>Maintenance reserve funded</t>
        </is>
      </c>
      <c r="C18" s="25">
        <f>IFERROR(MIN(Reserve/ReserveGoal,1),0)</f>
        <v/>
      </c>
      <c r="D18" s="26">
        <f>IF(C18&gt;=0.85,"Strong",IF(C18&gt;=0.6,"OK","Watch"))</f>
        <v/>
      </c>
    </row>
    <row r="21" ht="26" customHeight="1">
      <c r="B21" s="2" t="inlineStr">
        <is>
          <t>Trucking Owner-Operator Command Center™ — know your cost per mile.</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2" customWidth="1" min="1" max="1"/>
    <col width="44" customWidth="1" min="2" max="2"/>
    <col width="18" customWidth="1" min="3" max="3"/>
    <col width="2" customWidth="1" min="4" max="4"/>
  </cols>
  <sheetData>
    <row r="1" ht="46" customHeight="1">
      <c r="A1" s="1" t="inlineStr">
        <is>
          <t xml:space="preserve">  📏  COST PER MILE — THE ENGINE</t>
        </is>
      </c>
    </row>
    <row r="2" ht="22" customHeight="1">
      <c r="A2" s="2" t="inlineStr">
        <is>
          <t xml:space="preserve">  Fixed ÷ miles + variable per mile = your true cost, and the rate you must never go below.</t>
        </is>
      </c>
    </row>
    <row r="3" ht="6" customHeight="1">
      <c r="A3" s="3" t="n"/>
      <c r="B3" s="3" t="n"/>
      <c r="C3" s="3" t="n"/>
    </row>
    <row r="5">
      <c r="B5" s="4" t="inlineStr">
        <is>
          <t>THE MILES</t>
        </is>
      </c>
    </row>
    <row r="6">
      <c r="B6" s="27" t="inlineStr">
        <is>
          <t>Loaded miles (someone paid you)</t>
        </is>
      </c>
      <c r="C6" s="28">
        <f>LoadedMiles</f>
        <v/>
      </c>
    </row>
    <row r="7">
      <c r="B7" s="27" t="inlineStr">
        <is>
          <t>+ Deadhead miles (nobody paid you)</t>
        </is>
      </c>
      <c r="C7" s="29">
        <f>DeadheadMiles</f>
        <v/>
      </c>
    </row>
    <row r="8">
      <c r="B8" s="9">
        <f> TOTAL MILES RUN</f>
        <v/>
      </c>
      <c r="C8" s="30">
        <f>LoadedMiles+DeadheadMiles</f>
        <v/>
      </c>
    </row>
    <row r="9">
      <c r="B9" s="9">
        <f> DEADHEAD %</f>
        <v/>
      </c>
      <c r="C9" s="31">
        <f>IFERROR(DeadheadMiles/TotalMiles,0)</f>
        <v/>
      </c>
    </row>
    <row r="11">
      <c r="B11" s="4" t="inlineStr">
        <is>
          <t>THE COST</t>
        </is>
      </c>
    </row>
    <row r="12">
      <c r="B12" s="27" t="inlineStr">
        <is>
          <t>Fixed cost per mile</t>
        </is>
      </c>
      <c r="C12" s="32">
        <f>FixedCPM</f>
        <v/>
      </c>
    </row>
    <row r="13">
      <c r="B13" s="27" t="inlineStr">
        <is>
          <t>+ Variable cost per mile</t>
        </is>
      </c>
      <c r="C13" s="32">
        <f>VarCPM</f>
        <v/>
      </c>
    </row>
    <row r="14">
      <c r="B14" s="9">
        <f> COST PER MILE RUN</f>
        <v/>
      </c>
      <c r="C14" s="33">
        <f>FixedCPM+VarCPM</f>
        <v/>
      </c>
    </row>
    <row r="15">
      <c r="B15" s="9" t="inlineStr">
        <is>
          <t>× Total miles = TOTAL COST THIS MONTH</t>
        </is>
      </c>
      <c r="C15" s="34">
        <f>TotalCPM*TotalMiles</f>
        <v/>
      </c>
    </row>
    <row r="17">
      <c r="B17" s="4" t="inlineStr">
        <is>
          <t>⚠ THE NUMBER THAT ACTUALLY MATTERS</t>
        </is>
      </c>
    </row>
    <row r="18">
      <c r="B18" s="27" t="inlineStr">
        <is>
          <t>Total cost ÷ LOADED miles</t>
        </is>
      </c>
    </row>
    <row r="19">
      <c r="B19" s="9">
        <f> COST PER LOADED MILE</f>
        <v/>
      </c>
      <c r="C19" s="35">
        <f>IFERROR(TotalCostMonth/LoadedMiles,0)</f>
        <v/>
      </c>
    </row>
    <row r="20">
      <c r="B20" s="9">
        <f> YOUR RATE FLOOR — NEVER BOOK BELOW THIS</f>
        <v/>
      </c>
      <c r="C20" s="36">
        <f>CostPerLoaded</f>
        <v/>
      </c>
    </row>
    <row r="22">
      <c r="B22" s="4" t="inlineStr">
        <is>
          <t>THE LOAD</t>
        </is>
      </c>
    </row>
    <row r="23">
      <c r="B23" s="27" t="inlineStr">
        <is>
          <t>Your average rate per loaded mile</t>
        </is>
      </c>
      <c r="C23" s="37" t="n">
        <v>2.35</v>
      </c>
    </row>
    <row r="24">
      <c r="B24" s="9">
        <f> PROFIT PER LOADED MILE</f>
        <v/>
      </c>
      <c r="C24" s="38">
        <f>RatePerMile-CostPerLoaded</f>
        <v/>
      </c>
    </row>
    <row r="25">
      <c r="B25" s="9">
        <f> RATE COVERS COST THIS MANY TIMES</f>
        <v/>
      </c>
      <c r="C25" s="39">
        <f>IFERROR(RatePerMile/CostPerLoaded,0)</f>
        <v/>
      </c>
    </row>
    <row r="27">
      <c r="B27" s="4" t="inlineStr">
        <is>
          <t>⚠ WHAT DEADHEAD REALLY COSTS YOU</t>
        </is>
      </c>
    </row>
    <row r="28">
      <c r="B28" s="27" t="inlineStr">
        <is>
          <t>You booked at this rate per loaded mile</t>
        </is>
      </c>
      <c r="C28" s="40">
        <f>RatePerMile</f>
        <v/>
      </c>
    </row>
    <row r="29">
      <c r="B29" s="27" t="inlineStr">
        <is>
          <t>But you got paid this per mile you ACTUALLY drove</t>
        </is>
      </c>
      <c r="C29" s="41">
        <f>IFERROR(RatePerMile*LoadedMiles/TotalMiles,0)</f>
        <v/>
      </c>
    </row>
    <row r="30">
      <c r="B30" s="27" t="inlineStr">
        <is>
          <t>Deadhead quietly took this much off the load</t>
        </is>
      </c>
      <c r="C30" s="41">
        <f>RatePerMile-IFERROR(RatePerMile*LoadedMiles/TotalMiles,0)</f>
        <v/>
      </c>
    </row>
    <row r="31">
      <c r="B31" s="27" t="inlineStr">
        <is>
          <t>…which is this much a month</t>
        </is>
      </c>
      <c r="C31" s="42">
        <f>(RatePerMile-IFERROR(RatePerMile*LoadedMiles/TotalMiles,0))*LoadedMiles</f>
        <v/>
      </c>
    </row>
    <row r="33">
      <c r="B33" s="4" t="inlineStr">
        <is>
          <t>A $2.35 load with 11% deadhead is a $2.10 load. Book it knowing that.</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2" customWidth="1" min="1" max="1"/>
    <col width="44" customWidth="1" min="2" max="2"/>
    <col width="18" customWidth="1" min="3" max="3"/>
    <col width="18" customWidth="1" min="4" max="4"/>
    <col width="2" customWidth="1" min="5" max="5"/>
  </cols>
  <sheetData>
    <row r="1" ht="46" customHeight="1">
      <c r="A1" s="1" t="inlineStr">
        <is>
          <t xml:space="preserve">  🏦  FIXED COSTS</t>
        </is>
      </c>
    </row>
    <row r="2" ht="22" customHeight="1">
      <c r="A2" s="2" t="inlineStr">
        <is>
          <t xml:space="preserve">  What the truck costs you every month before it turns a wheel.</t>
        </is>
      </c>
    </row>
    <row r="3" ht="6" customHeight="1">
      <c r="A3" s="3" t="n"/>
      <c r="B3" s="3" t="n"/>
      <c r="C3" s="3" t="n"/>
      <c r="D3" s="3" t="n"/>
    </row>
    <row r="4" ht="30" customHeight="1">
      <c r="B4" s="9" t="inlineStr">
        <is>
          <t>Line</t>
        </is>
      </c>
      <c r="C4" s="9" t="inlineStr">
        <is>
          <t>Monthly</t>
        </is>
      </c>
      <c r="D4" s="9" t="inlineStr">
        <is>
          <t>Yearly</t>
        </is>
      </c>
    </row>
    <row r="5">
      <c r="B5" s="21" t="inlineStr">
        <is>
          <t>Tractor payment</t>
        </is>
      </c>
      <c r="C5" s="43" t="n">
        <v>2200</v>
      </c>
      <c r="D5" s="44">
        <f>C5*12</f>
        <v/>
      </c>
    </row>
    <row r="6">
      <c r="B6" s="24" t="inlineStr">
        <is>
          <t>Trailer payment</t>
        </is>
      </c>
      <c r="C6" s="45" t="n">
        <v>600</v>
      </c>
      <c r="D6" s="46">
        <f>C6*12</f>
        <v/>
      </c>
    </row>
    <row r="7">
      <c r="B7" s="21" t="inlineStr">
        <is>
          <t>Insurance (liability + cargo + physical)</t>
        </is>
      </c>
      <c r="C7" s="43" t="n">
        <v>1100</v>
      </c>
      <c r="D7" s="44">
        <f>C7*12</f>
        <v/>
      </c>
    </row>
    <row r="8">
      <c r="B8" s="24" t="inlineStr">
        <is>
          <t>Permits, plates, IFTA &amp; IRP</t>
        </is>
      </c>
      <c r="C8" s="45" t="n">
        <v>250</v>
      </c>
      <c r="D8" s="46">
        <f>C8*12</f>
        <v/>
      </c>
    </row>
    <row r="9">
      <c r="B9" s="21" t="inlineStr">
        <is>
          <t>ELD &amp; dispatch software</t>
        </is>
      </c>
      <c r="C9" s="43" t="n">
        <v>65</v>
      </c>
      <c r="D9" s="44">
        <f>C9*12</f>
        <v/>
      </c>
    </row>
    <row r="10">
      <c r="B10" s="24" t="inlineStr">
        <is>
          <t>Parking &amp; yard</t>
        </is>
      </c>
      <c r="C10" s="45" t="n">
        <v>150</v>
      </c>
      <c r="D10" s="46">
        <f>C10*12</f>
        <v/>
      </c>
    </row>
    <row r="11">
      <c r="B11" s="21" t="inlineStr">
        <is>
          <t>Accounting &amp; compliance</t>
        </is>
      </c>
      <c r="C11" s="43" t="n">
        <v>125</v>
      </c>
      <c r="D11" s="44">
        <f>C11*12</f>
        <v/>
      </c>
    </row>
    <row r="12">
      <c r="B12" s="9">
        <f> FIXED COSTS / MONTH</f>
        <v/>
      </c>
      <c r="C12" s="34">
        <f>SUM(FixedLines)</f>
        <v/>
      </c>
      <c r="D12" s="47">
        <f>FixedTotal*12</f>
        <v/>
      </c>
    </row>
    <row r="14">
      <c r="B14" s="27" t="inlineStr">
        <is>
          <t>÷ Total miles run this month</t>
        </is>
      </c>
      <c r="C14" s="28">
        <f>TotalMiles</f>
        <v/>
      </c>
    </row>
    <row r="15">
      <c r="B15" s="9">
        <f> FIXED COST PER MILE</f>
        <v/>
      </c>
      <c r="C15" s="48">
        <f>IFERROR(FixedTotal/TotalMiles,0)</f>
        <v/>
      </c>
    </row>
    <row r="17">
      <c r="B17" s="4" t="inlineStr">
        <is>
          <t>Park the truck for a week and this bill arrives anyway. Spread it over real miles.</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 customWidth="1" min="1" max="1"/>
    <col width="44" customWidth="1" min="2" max="2"/>
    <col width="18" customWidth="1" min="3" max="3"/>
    <col width="18" customWidth="1" min="4" max="4"/>
    <col width="2" customWidth="1" min="5" max="5"/>
  </cols>
  <sheetData>
    <row r="1" ht="46" customHeight="1">
      <c r="A1" s="1" t="inlineStr">
        <is>
          <t xml:space="preserve">  ⛽  VARIABLE COSTS</t>
        </is>
      </c>
    </row>
    <row r="2" ht="22" customHeight="1">
      <c r="A2" s="2" t="inlineStr">
        <is>
          <t xml:space="preserve">  What every single mile burns — loaded or empty, it costs the same.</t>
        </is>
      </c>
    </row>
    <row r="3" ht="6" customHeight="1">
      <c r="A3" s="3" t="n"/>
      <c r="B3" s="3" t="n"/>
      <c r="C3" s="3" t="n"/>
      <c r="D3" s="3" t="n"/>
    </row>
    <row r="5">
      <c r="B5" s="4" t="inlineStr">
        <is>
          <t>FUEL — THE BIGGEST LINE</t>
        </is>
      </c>
    </row>
    <row r="6">
      <c r="B6" s="27" t="inlineStr">
        <is>
          <t>Diesel price / gallon</t>
        </is>
      </c>
      <c r="C6" s="40">
        <f>DieselPrice</f>
        <v/>
      </c>
    </row>
    <row r="7">
      <c r="B7" s="27" t="inlineStr">
        <is>
          <t>÷ Miles per gallon</t>
        </is>
      </c>
      <c r="C7" s="49">
        <f>MPG</f>
        <v/>
      </c>
    </row>
    <row r="8">
      <c r="B8" s="9">
        <f> FUEL COST PER MILE</f>
        <v/>
      </c>
      <c r="C8" s="50">
        <f>IFERROR(DieselPrice/MPG,0)</f>
        <v/>
      </c>
    </row>
    <row r="10">
      <c r="B10" s="4" t="inlineStr">
        <is>
          <t>EVERY OTHER PER-MILE COST</t>
        </is>
      </c>
    </row>
    <row r="11" ht="30" customHeight="1">
      <c r="B11" s="9" t="inlineStr">
        <is>
          <t>Line</t>
        </is>
      </c>
      <c r="C11" s="9" t="inlineStr">
        <is>
          <t>Per mile</t>
        </is>
      </c>
      <c r="D11" s="9" t="inlineStr">
        <is>
          <t>Per month</t>
        </is>
      </c>
    </row>
    <row r="12">
      <c r="B12" s="21" t="inlineStr">
        <is>
          <t>Fuel (diesel price ÷ MPG)</t>
        </is>
      </c>
      <c r="C12" s="51">
        <f>FuelCPM</f>
        <v/>
      </c>
      <c r="D12" s="44">
        <f>C12*TotalMiles</f>
        <v/>
      </c>
    </row>
    <row r="13">
      <c r="B13" s="24" t="inlineStr">
        <is>
          <t>Maintenance &amp; repair reserve</t>
        </is>
      </c>
      <c r="C13" s="52" t="n">
        <v>0.18</v>
      </c>
      <c r="D13" s="46">
        <f>C13*TotalMiles</f>
        <v/>
      </c>
    </row>
    <row r="14">
      <c r="B14" s="21" t="inlineStr">
        <is>
          <t>Tires</t>
        </is>
      </c>
      <c r="C14" s="53" t="n">
        <v>0.045</v>
      </c>
      <c r="D14" s="44">
        <f>C14*TotalMiles</f>
        <v/>
      </c>
    </row>
    <row r="15">
      <c r="B15" s="24" t="inlineStr">
        <is>
          <t>Tolls, scales &amp; permits</t>
        </is>
      </c>
      <c r="C15" s="52" t="n">
        <v>0.035</v>
      </c>
      <c r="D15" s="46">
        <f>C15*TotalMiles</f>
        <v/>
      </c>
    </row>
    <row r="16">
      <c r="B16" s="9">
        <f> VARIABLE COST PER MILE</f>
        <v/>
      </c>
      <c r="C16" s="33">
        <f>SUM(VarLines)</f>
        <v/>
      </c>
      <c r="D16" s="47">
        <f>VarCPM*TotalMiles</f>
        <v/>
      </c>
    </row>
    <row r="18">
      <c r="B18" s="4" t="inlineStr">
        <is>
          <t>Half a mile per gallon is worth thousands a year. Check the Fuel Log.</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showGridLines="0" workbookViewId="0">
      <pane ySplit="4" topLeftCell="A5" activePane="bottomLeft" state="frozen"/>
      <selection pane="bottomLeft" activeCell="A1" sqref="A1"/>
    </sheetView>
  </sheetViews>
  <sheetFormatPr baseColWidth="8" defaultRowHeight="15"/>
  <cols>
    <col width="2" customWidth="1" min="1" max="1"/>
    <col width="11" customWidth="1" min="2" max="2"/>
    <col width="17" customWidth="1" min="3" max="3"/>
    <col width="34" customWidth="1" min="4" max="4"/>
    <col width="13" customWidth="1" min="5" max="5"/>
    <col width="13" customWidth="1" min="6" max="6"/>
    <col width="12" customWidth="1" min="7" max="7"/>
    <col width="14" customWidth="1" min="8" max="8"/>
    <col width="14" customWidth="1" min="9" max="9"/>
    <col width="2" customWidth="1" min="10" max="10"/>
  </cols>
  <sheetData>
    <row r="1" ht="46" customHeight="1">
      <c r="A1" s="1" t="inlineStr">
        <is>
          <t xml:space="preserve">  📦  LOADS</t>
        </is>
      </c>
    </row>
    <row r="2" ht="22" customHeight="1">
      <c r="A2" s="2" t="inlineStr">
        <is>
          <t xml:space="preserve">  Every load — the lane, the deadhead to get there, and what it actually paid.</t>
        </is>
      </c>
    </row>
    <row r="3" ht="6" customHeight="1">
      <c r="A3" s="3" t="n"/>
      <c r="B3" s="3" t="n"/>
      <c r="C3" s="3" t="n"/>
      <c r="D3" s="3" t="n"/>
      <c r="E3" s="3" t="n"/>
      <c r="F3" s="3" t="n"/>
      <c r="G3" s="3" t="n"/>
      <c r="H3" s="3" t="n"/>
      <c r="I3" s="3" t="n"/>
    </row>
    <row r="4" ht="30" customHeight="1">
      <c r="B4" s="9" t="inlineStr">
        <is>
          <t>Date</t>
        </is>
      </c>
      <c r="C4" s="9" t="inlineStr">
        <is>
          <t>Broker</t>
        </is>
      </c>
      <c r="D4" s="9" t="inlineStr">
        <is>
          <t>Lane</t>
        </is>
      </c>
      <c r="E4" s="9" t="inlineStr">
        <is>
          <t>Loaded mi</t>
        </is>
      </c>
      <c r="F4" s="9" t="inlineStr">
        <is>
          <t>Deadhead</t>
        </is>
      </c>
      <c r="G4" s="9" t="inlineStr">
        <is>
          <t>Rate/mi</t>
        </is>
      </c>
      <c r="H4" s="9" t="inlineStr">
        <is>
          <t>Revenue</t>
        </is>
      </c>
      <c r="I4" s="9" t="inlineStr">
        <is>
          <t>All-in $/mi</t>
        </is>
      </c>
    </row>
    <row r="5">
      <c r="B5" s="23" t="inlineStr">
        <is>
          <t>07/01</t>
        </is>
      </c>
      <c r="C5" s="23" t="inlineStr">
        <is>
          <t>TQL</t>
        </is>
      </c>
      <c r="D5" s="21" t="inlineStr">
        <is>
          <t>Dallas TX → Memphis TN</t>
        </is>
      </c>
      <c r="E5" s="54" t="n">
        <v>850</v>
      </c>
      <c r="F5" s="54" t="n">
        <v>110</v>
      </c>
      <c r="G5" s="37" t="n">
        <v>2.54</v>
      </c>
      <c r="H5" s="44">
        <f>E5*G5</f>
        <v/>
      </c>
      <c r="I5" s="55">
        <f>IFERROR(H5/(E5+F5),0)</f>
        <v/>
      </c>
    </row>
    <row r="6">
      <c r="B6" s="26" t="inlineStr">
        <is>
          <t>07/03</t>
        </is>
      </c>
      <c r="C6" s="26" t="inlineStr">
        <is>
          <t>CH Robinson</t>
        </is>
      </c>
      <c r="D6" s="24" t="inlineStr">
        <is>
          <t>Memphis TN → Atlanta GA</t>
        </is>
      </c>
      <c r="E6" s="56" t="n">
        <v>620</v>
      </c>
      <c r="F6" s="56" t="n">
        <v>45</v>
      </c>
      <c r="G6" s="57" t="n">
        <v>2.55</v>
      </c>
      <c r="H6" s="46">
        <f>E6*G6</f>
        <v/>
      </c>
      <c r="I6" s="58">
        <f>IFERROR(H6/(E6+F6),0)</f>
        <v/>
      </c>
    </row>
    <row r="7">
      <c r="B7" s="23" t="inlineStr">
        <is>
          <t>07/05</t>
        </is>
      </c>
      <c r="C7" s="23" t="inlineStr">
        <is>
          <t>Landstar</t>
        </is>
      </c>
      <c r="D7" s="21" t="inlineStr">
        <is>
          <t>Atlanta GA → Miami FL</t>
        </is>
      </c>
      <c r="E7" s="54" t="n">
        <v>1100</v>
      </c>
      <c r="F7" s="54" t="n">
        <v>160</v>
      </c>
      <c r="G7" s="37" t="n">
        <v>2.15</v>
      </c>
      <c r="H7" s="44">
        <f>E7*G7</f>
        <v/>
      </c>
      <c r="I7" s="55">
        <f>IFERROR(H7/(E7+F7),0)</f>
        <v/>
      </c>
    </row>
    <row r="8">
      <c r="B8" s="26" t="inlineStr">
        <is>
          <t>07/08</t>
        </is>
      </c>
      <c r="C8" s="26" t="inlineStr">
        <is>
          <t>Coyote</t>
        </is>
      </c>
      <c r="D8" s="24" t="inlineStr">
        <is>
          <t>Miami FL → Tampa FL</t>
        </is>
      </c>
      <c r="E8" s="56" t="n">
        <v>480</v>
      </c>
      <c r="F8" s="56" t="n">
        <v>60</v>
      </c>
      <c r="G8" s="57" t="n">
        <v>2.7</v>
      </c>
      <c r="H8" s="46">
        <f>E8*G8</f>
        <v/>
      </c>
      <c r="I8" s="58">
        <f>IFERROR(H8/(E8+F8),0)</f>
        <v/>
      </c>
    </row>
    <row r="9">
      <c r="B9" s="23" t="inlineStr">
        <is>
          <t>07/10</t>
        </is>
      </c>
      <c r="C9" s="23" t="inlineStr">
        <is>
          <t>TQL</t>
        </is>
      </c>
      <c r="D9" s="21" t="inlineStr">
        <is>
          <t>Tampa FL → Birmingham AL</t>
        </is>
      </c>
      <c r="E9" s="54" t="n">
        <v>940</v>
      </c>
      <c r="F9" s="54" t="n">
        <v>95</v>
      </c>
      <c r="G9" s="37" t="n">
        <v>2.3</v>
      </c>
      <c r="H9" s="44">
        <f>E9*G9</f>
        <v/>
      </c>
      <c r="I9" s="55">
        <f>IFERROR(H9/(E9+F9),0)</f>
        <v/>
      </c>
    </row>
    <row r="10">
      <c r="B10" s="26" t="inlineStr">
        <is>
          <t>07/12</t>
        </is>
      </c>
      <c r="C10" s="26" t="inlineStr">
        <is>
          <t>Echo</t>
        </is>
      </c>
      <c r="D10" s="24" t="inlineStr">
        <is>
          <t>Birmingham AL → Denver CO</t>
        </is>
      </c>
      <c r="E10" s="56" t="n">
        <v>1250</v>
      </c>
      <c r="F10" s="56" t="n">
        <v>180</v>
      </c>
      <c r="G10" s="57" t="n">
        <v>2.1</v>
      </c>
      <c r="H10" s="46">
        <f>E10*G10</f>
        <v/>
      </c>
      <c r="I10" s="58">
        <f>IFERROR(H10/(E10+F10),0)</f>
        <v/>
      </c>
    </row>
    <row r="11">
      <c r="B11" s="23" t="inlineStr">
        <is>
          <t>07/15</t>
        </is>
      </c>
      <c r="C11" s="23" t="inlineStr">
        <is>
          <t>CH Robinson</t>
        </is>
      </c>
      <c r="D11" s="21" t="inlineStr">
        <is>
          <t>Denver CO → Kansas City MO</t>
        </is>
      </c>
      <c r="E11" s="54" t="n">
        <v>720</v>
      </c>
      <c r="F11" s="54" t="n">
        <v>70</v>
      </c>
      <c r="G11" s="37" t="n">
        <v>2.45</v>
      </c>
      <c r="H11" s="44">
        <f>E11*G11</f>
        <v/>
      </c>
      <c r="I11" s="55">
        <f>IFERROR(H11/(E11+F11),0)</f>
        <v/>
      </c>
    </row>
    <row r="12">
      <c r="B12" s="26" t="inlineStr">
        <is>
          <t>07/17</t>
        </is>
      </c>
      <c r="C12" s="26" t="inlineStr">
        <is>
          <t>Convoy</t>
        </is>
      </c>
      <c r="D12" s="24" t="inlineStr">
        <is>
          <t>Kansas City MO → St Louis MO</t>
        </is>
      </c>
      <c r="E12" s="56" t="n">
        <v>560</v>
      </c>
      <c r="F12" s="56" t="n">
        <v>55</v>
      </c>
      <c r="G12" s="57" t="n">
        <v>2.6</v>
      </c>
      <c r="H12" s="46">
        <f>E12*G12</f>
        <v/>
      </c>
      <c r="I12" s="58">
        <f>IFERROR(H12/(E12+F12),0)</f>
        <v/>
      </c>
    </row>
    <row r="13">
      <c r="B13" s="23" t="inlineStr">
        <is>
          <t>07/19</t>
        </is>
      </c>
      <c r="C13" s="23" t="inlineStr">
        <is>
          <t>Landstar</t>
        </is>
      </c>
      <c r="D13" s="21" t="inlineStr">
        <is>
          <t>St Louis MO → Houston TX</t>
        </is>
      </c>
      <c r="E13" s="54" t="n">
        <v>1020</v>
      </c>
      <c r="F13" s="54" t="n">
        <v>140</v>
      </c>
      <c r="G13" s="37" t="n">
        <v>2.25</v>
      </c>
      <c r="H13" s="44">
        <f>E13*G13</f>
        <v/>
      </c>
      <c r="I13" s="55">
        <f>IFERROR(H13/(E13+F13),0)</f>
        <v/>
      </c>
    </row>
    <row r="14">
      <c r="B14" s="26" t="inlineStr">
        <is>
          <t>07/22</t>
        </is>
      </c>
      <c r="C14" s="26" t="inlineStr">
        <is>
          <t>TQL</t>
        </is>
      </c>
      <c r="D14" s="24" t="inlineStr">
        <is>
          <t>Houston TX → New Orleans LA</t>
        </is>
      </c>
      <c r="E14" s="56" t="n">
        <v>800</v>
      </c>
      <c r="F14" s="56" t="n">
        <v>90</v>
      </c>
      <c r="G14" s="57" t="n">
        <v>2.4</v>
      </c>
      <c r="H14" s="46">
        <f>E14*G14</f>
        <v/>
      </c>
      <c r="I14" s="58">
        <f>IFERROR(H14/(E14+F14),0)</f>
        <v/>
      </c>
    </row>
    <row r="15">
      <c r="B15" s="23" t="inlineStr">
        <is>
          <t>07/24</t>
        </is>
      </c>
      <c r="C15" s="23" t="inlineStr">
        <is>
          <t>Echo</t>
        </is>
      </c>
      <c r="D15" s="21" t="inlineStr">
        <is>
          <t>New Orleans LA → Oklahoma City OK</t>
        </is>
      </c>
      <c r="E15" s="54" t="n">
        <v>1160</v>
      </c>
      <c r="F15" s="54" t="n">
        <v>145</v>
      </c>
      <c r="G15" s="37" t="n">
        <v>2.2</v>
      </c>
      <c r="H15" s="44">
        <f>E15*G15</f>
        <v/>
      </c>
      <c r="I15" s="55">
        <f>IFERROR(H15/(E15+F15),0)</f>
        <v/>
      </c>
    </row>
    <row r="16">
      <c r="B16" s="26" t="inlineStr">
        <is>
          <t>07/27</t>
        </is>
      </c>
      <c r="C16" s="26" t="inlineStr">
        <is>
          <t>Coyote</t>
        </is>
      </c>
      <c r="D16" s="24" t="inlineStr">
        <is>
          <t>Oklahoma City OK → Dallas TX</t>
        </is>
      </c>
      <c r="E16" s="56" t="n">
        <v>500</v>
      </c>
      <c r="F16" s="56" t="n">
        <v>50</v>
      </c>
      <c r="G16" s="57" t="n">
        <v>2.65</v>
      </c>
      <c r="H16" s="46">
        <f>E16*G16</f>
        <v/>
      </c>
      <c r="I16" s="58">
        <f>IFERROR(H16/(E16+F16),0)</f>
        <v/>
      </c>
    </row>
    <row r="17">
      <c r="B17" s="9" t="inlineStr">
        <is>
          <t>ALL LOADS</t>
        </is>
      </c>
      <c r="C17" s="59" t="n"/>
      <c r="D17" s="59" t="n"/>
      <c r="E17" s="60">
        <f>SUM(LoadLoaded)</f>
        <v/>
      </c>
      <c r="F17" s="60">
        <f>SUM(LoadDead)</f>
        <v/>
      </c>
      <c r="G17" s="59" t="n"/>
      <c r="H17" s="47">
        <f>SUM(LoadRev)</f>
        <v/>
      </c>
      <c r="I17" s="61">
        <f>IFERROR(H17/(E17+F17),0)</f>
        <v/>
      </c>
    </row>
    <row r="19">
      <c r="B19" s="27" t="inlineStr">
        <is>
          <t>Average rate per LOADED mile</t>
        </is>
      </c>
      <c r="H19" s="40">
        <f>IFERROR(H17/E17,0)</f>
        <v/>
      </c>
    </row>
    <row r="20">
      <c r="B20" s="4" t="inlineStr">
        <is>
          <t>Any load whose all-in rate is under your cost per loaded mile is flagged red.</t>
        </is>
      </c>
    </row>
  </sheetData>
  <mergeCells count="2">
    <mergeCell ref="A1:I1"/>
    <mergeCell ref="A2:I2"/>
  </mergeCells>
  <conditionalFormatting sqref="I5:I16">
    <cfRule type="dataBar" priority="1">
      <dataBar>
        <cfvo type="min"/>
        <cfvo type="max"/>
        <color rgb="0075E6C1"/>
      </dataBar>
    </cfRule>
    <cfRule type="cellIs" priority="2" operator="lessThan" dxfId="0">
      <formula>CostPerLoaded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8"/>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6" customWidth="1" min="3" max="3"/>
    <col width="16" customWidth="1" min="4" max="4"/>
    <col width="16" customWidth="1" min="5" max="5"/>
    <col width="28" customWidth="1" min="6" max="6"/>
    <col width="2" customWidth="1" min="7" max="7"/>
  </cols>
  <sheetData>
    <row r="1" ht="46" customHeight="1">
      <c r="A1" s="1" t="inlineStr">
        <is>
          <t xml:space="preserve">  💵  SETTLEMENTS</t>
        </is>
      </c>
    </row>
    <row r="2" ht="22" customHeight="1">
      <c r="A2" s="2" t="inlineStr">
        <is>
          <t xml:space="preserve">  What the broker paid, what they took out, and what actually landed.</t>
        </is>
      </c>
    </row>
    <row r="3" ht="6" customHeight="1">
      <c r="A3" s="3" t="n"/>
      <c r="B3" s="3" t="n"/>
      <c r="C3" s="3" t="n"/>
      <c r="D3" s="3" t="n"/>
      <c r="E3" s="3" t="n"/>
      <c r="F3" s="3" t="n"/>
    </row>
    <row r="4" ht="30" customHeight="1">
      <c r="B4" s="9" t="inlineStr">
        <is>
          <t>Week</t>
        </is>
      </c>
      <c r="C4" s="9" t="inlineStr">
        <is>
          <t>Gross</t>
        </is>
      </c>
      <c r="D4" s="9" t="inlineStr">
        <is>
          <t>Deductions</t>
        </is>
      </c>
      <c r="E4" s="9" t="inlineStr">
        <is>
          <t>Net</t>
        </is>
      </c>
      <c r="F4" s="9" t="inlineStr">
        <is>
          <t>Note</t>
        </is>
      </c>
    </row>
    <row r="5">
      <c r="B5" s="62" t="inlineStr">
        <is>
          <t>Week 1</t>
        </is>
      </c>
      <c r="C5" s="63" t="n">
        <v>6060</v>
      </c>
      <c r="D5" s="63" t="n">
        <v>420</v>
      </c>
      <c r="E5" s="63">
        <f>C5-D5</f>
        <v/>
      </c>
      <c r="F5" s="21" t="inlineStr">
        <is>
          <t>Fuel advance</t>
        </is>
      </c>
    </row>
    <row r="6">
      <c r="B6" s="26" t="inlineStr">
        <is>
          <t>Week 2</t>
        </is>
      </c>
      <c r="C6" s="46" t="n">
        <v>5754</v>
      </c>
      <c r="D6" s="46" t="n">
        <v>385</v>
      </c>
      <c r="E6" s="46">
        <f>C6-D6</f>
        <v/>
      </c>
      <c r="F6" s="21" t="inlineStr">
        <is>
          <t>Trailer rent</t>
        </is>
      </c>
    </row>
    <row r="7">
      <c r="B7" s="62" t="inlineStr">
        <is>
          <t>Week 3</t>
        </is>
      </c>
      <c r="C7" s="63" t="n">
        <v>5515</v>
      </c>
      <c r="D7" s="63" t="n">
        <v>410</v>
      </c>
      <c r="E7" s="63">
        <f>C7-D7</f>
        <v/>
      </c>
      <c r="F7" s="21" t="inlineStr">
        <is>
          <t>Fuel advance</t>
        </is>
      </c>
    </row>
    <row r="8">
      <c r="B8" s="26" t="inlineStr">
        <is>
          <t>Week 4</t>
        </is>
      </c>
      <c r="C8" s="46" t="n">
        <v>6171</v>
      </c>
      <c r="D8" s="46" t="n">
        <v>395</v>
      </c>
      <c r="E8" s="46">
        <f>C8-D8</f>
        <v/>
      </c>
      <c r="F8" s="21" t="inlineStr">
        <is>
          <t>Insurance draw</t>
        </is>
      </c>
    </row>
    <row r="9">
      <c r="B9" s="62" t="n"/>
      <c r="C9" s="63" t="n"/>
      <c r="D9" s="63" t="n"/>
      <c r="E9" s="63" t="n"/>
      <c r="F9" s="64" t="n"/>
    </row>
    <row r="10">
      <c r="B10" s="26" t="n"/>
      <c r="C10" s="46" t="n"/>
      <c r="D10" s="46" t="n"/>
      <c r="E10" s="46" t="n"/>
      <c r="F10" s="24" t="n"/>
    </row>
    <row r="11">
      <c r="B11" s="62" t="n"/>
      <c r="C11" s="63" t="n"/>
      <c r="D11" s="63" t="n"/>
      <c r="E11" s="63" t="n"/>
      <c r="F11" s="64" t="n"/>
    </row>
    <row r="12">
      <c r="B12" s="26" t="n"/>
      <c r="C12" s="46" t="n"/>
      <c r="D12" s="46" t="n"/>
      <c r="E12" s="46" t="n"/>
      <c r="F12" s="24" t="n"/>
    </row>
    <row r="13">
      <c r="B13" s="62" t="n"/>
      <c r="C13" s="63" t="n"/>
      <c r="D13" s="63" t="n"/>
      <c r="E13" s="63" t="n"/>
      <c r="F13" s="64" t="n"/>
    </row>
    <row r="14">
      <c r="B14" s="26" t="n"/>
      <c r="C14" s="46" t="n"/>
      <c r="D14" s="46" t="n"/>
      <c r="E14" s="46" t="n"/>
      <c r="F14" s="24" t="n"/>
    </row>
    <row r="15">
      <c r="B15" s="62" t="n"/>
      <c r="C15" s="63" t="n"/>
      <c r="D15" s="63" t="n"/>
      <c r="E15" s="63" t="n"/>
      <c r="F15" s="64" t="n"/>
    </row>
    <row r="16">
      <c r="B16" s="26" t="n"/>
      <c r="C16" s="46" t="n"/>
      <c r="D16" s="46" t="n"/>
      <c r="E16" s="46" t="n"/>
      <c r="F16" s="24" t="n"/>
    </row>
    <row r="17">
      <c r="B17" s="62" t="n"/>
      <c r="C17" s="63" t="n"/>
      <c r="D17" s="63" t="n"/>
      <c r="E17" s="63" t="n"/>
      <c r="F17" s="64" t="n"/>
    </row>
    <row r="18">
      <c r="B18" s="26" t="n"/>
      <c r="C18" s="46" t="n"/>
      <c r="D18" s="46" t="n"/>
      <c r="E18" s="46" t="n"/>
      <c r="F18" s="24" t="n"/>
    </row>
    <row r="19">
      <c r="B19" s="62" t="n"/>
      <c r="C19" s="63" t="n"/>
      <c r="D19" s="63" t="n"/>
      <c r="E19" s="63" t="n"/>
      <c r="F19" s="64" t="n"/>
    </row>
    <row r="20">
      <c r="B20" s="26" t="n"/>
      <c r="C20" s="46" t="n"/>
      <c r="D20" s="46" t="n"/>
      <c r="E20" s="46" t="n"/>
      <c r="F20" s="24" t="n"/>
    </row>
    <row r="21">
      <c r="B21" s="62" t="n"/>
      <c r="C21" s="63" t="n"/>
      <c r="D21" s="63" t="n"/>
      <c r="E21" s="63" t="n"/>
      <c r="F21" s="64" t="n"/>
    </row>
    <row r="22">
      <c r="B22" s="26" t="n"/>
      <c r="C22" s="46" t="n"/>
      <c r="D22" s="46" t="n"/>
      <c r="E22" s="46" t="n"/>
      <c r="F22" s="24" t="n"/>
    </row>
    <row r="23">
      <c r="B23" s="62" t="n"/>
      <c r="C23" s="63" t="n"/>
      <c r="D23" s="63" t="n"/>
      <c r="E23" s="63" t="n"/>
      <c r="F23" s="64" t="n"/>
    </row>
    <row r="24">
      <c r="B24" s="26" t="n"/>
      <c r="C24" s="46" t="n"/>
      <c r="D24" s="46" t="n"/>
      <c r="E24" s="46" t="n"/>
      <c r="F24" s="24" t="n"/>
    </row>
    <row r="25">
      <c r="B25" s="62" t="n"/>
      <c r="C25" s="63" t="n"/>
      <c r="D25" s="63" t="n"/>
      <c r="E25" s="63" t="n"/>
      <c r="F25" s="64" t="n"/>
    </row>
    <row r="26">
      <c r="B26" s="26" t="n"/>
      <c r="C26" s="46" t="n"/>
      <c r="D26" s="46" t="n"/>
      <c r="E26" s="46" t="n"/>
      <c r="F26" s="24" t="n"/>
    </row>
    <row r="27">
      <c r="B27" s="62" t="n"/>
      <c r="C27" s="63" t="n"/>
      <c r="D27" s="63" t="n"/>
      <c r="E27" s="63" t="n"/>
      <c r="F27" s="64" t="n"/>
    </row>
    <row r="28">
      <c r="B28" s="26" t="n"/>
      <c r="C28" s="46" t="n"/>
      <c r="D28" s="46" t="n"/>
      <c r="E28" s="46" t="n"/>
      <c r="F28" s="24" t="n"/>
    </row>
    <row r="29">
      <c r="B29" s="62" t="n"/>
      <c r="C29" s="63" t="n"/>
      <c r="D29" s="63" t="n"/>
      <c r="E29" s="63" t="n"/>
      <c r="F29" s="64" t="n"/>
    </row>
    <row r="30">
      <c r="B30" s="26" t="n"/>
      <c r="C30" s="46" t="n"/>
      <c r="D30" s="46" t="n"/>
      <c r="E30" s="46" t="n"/>
      <c r="F30" s="24" t="n"/>
    </row>
    <row r="31">
      <c r="B31" s="62" t="n"/>
      <c r="C31" s="63" t="n"/>
      <c r="D31" s="63" t="n"/>
      <c r="E31" s="63" t="n"/>
      <c r="F31" s="64" t="n"/>
    </row>
    <row r="32">
      <c r="B32" s="26" t="n"/>
      <c r="C32" s="46" t="n"/>
      <c r="D32" s="46" t="n"/>
      <c r="E32" s="46" t="n"/>
      <c r="F32" s="24" t="n"/>
    </row>
    <row r="33">
      <c r="B33" s="62" t="n"/>
      <c r="C33" s="63" t="n"/>
      <c r="D33" s="63" t="n"/>
      <c r="E33" s="63" t="n"/>
      <c r="F33" s="64" t="n"/>
    </row>
    <row r="34">
      <c r="B34" s="26" t="n"/>
      <c r="C34" s="46" t="n"/>
      <c r="D34" s="46" t="n"/>
      <c r="E34" s="46" t="n"/>
      <c r="F34" s="24" t="n"/>
    </row>
    <row r="35">
      <c r="B35" s="62" t="n"/>
      <c r="C35" s="63" t="n"/>
      <c r="D35" s="63" t="n"/>
      <c r="E35" s="63" t="n"/>
      <c r="F35" s="64" t="n"/>
    </row>
    <row r="36">
      <c r="B36" s="26" t="n"/>
      <c r="C36" s="46" t="n"/>
      <c r="D36" s="46" t="n"/>
      <c r="E36" s="46" t="n"/>
      <c r="F36" s="24" t="n"/>
    </row>
    <row r="37">
      <c r="B37" s="62" t="n"/>
      <c r="C37" s="63" t="n"/>
      <c r="D37" s="63" t="n"/>
      <c r="E37" s="63" t="n"/>
      <c r="F37" s="64" t="n"/>
    </row>
    <row r="38">
      <c r="B38" s="26" t="n"/>
      <c r="C38" s="46" t="n"/>
      <c r="D38" s="46" t="n"/>
      <c r="E38" s="46" t="n"/>
      <c r="F38" s="24" t="n"/>
    </row>
    <row r="39">
      <c r="B39" s="62" t="n"/>
      <c r="C39" s="63" t="n"/>
      <c r="D39" s="63" t="n"/>
      <c r="E39" s="63" t="n"/>
      <c r="F39" s="64" t="n"/>
    </row>
    <row r="40">
      <c r="B40" s="26" t="n"/>
      <c r="C40" s="46" t="n"/>
      <c r="D40" s="46" t="n"/>
      <c r="E40" s="46" t="n"/>
      <c r="F40" s="24" t="n"/>
    </row>
    <row r="41">
      <c r="B41" s="62" t="n"/>
      <c r="C41" s="63" t="n"/>
      <c r="D41" s="63" t="n"/>
      <c r="E41" s="63" t="n"/>
      <c r="F41" s="64" t="n"/>
    </row>
    <row r="42">
      <c r="B42" s="26" t="n"/>
      <c r="C42" s="46" t="n"/>
      <c r="D42" s="46" t="n"/>
      <c r="E42" s="46" t="n"/>
      <c r="F42" s="24" t="n"/>
    </row>
    <row r="43">
      <c r="B43" s="62" t="n"/>
      <c r="C43" s="63" t="n"/>
      <c r="D43" s="63" t="n"/>
      <c r="E43" s="63" t="n"/>
      <c r="F43" s="64" t="n"/>
    </row>
    <row r="44">
      <c r="B44" s="26" t="n"/>
      <c r="C44" s="46" t="n"/>
      <c r="D44" s="46" t="n"/>
      <c r="E44" s="46" t="n"/>
      <c r="F44" s="24" t="n"/>
    </row>
    <row r="46">
      <c r="B46" s="9" t="inlineStr">
        <is>
          <t>TOTAL SETTLED</t>
        </is>
      </c>
      <c r="C46" s="65">
        <f>SUM(SetGross)</f>
        <v/>
      </c>
      <c r="D46" s="66">
        <f>SUM(SetDed)</f>
        <v/>
      </c>
      <c r="E46" s="47">
        <f>SUM(SetNet)</f>
        <v/>
      </c>
    </row>
    <row r="48">
      <c r="B48" s="4" t="inlineStr">
        <is>
          <t>Deductions are real money. Track every advance, escrow and trailer rent.</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2" customWidth="1" min="1" max="1"/>
    <col width="12" customWidth="1" min="2" max="2"/>
    <col width="12" customWidth="1" min="3" max="3"/>
    <col width="14" customWidth="1" min="4" max="4"/>
    <col width="14" customWidth="1" min="5" max="5"/>
    <col width="15" customWidth="1" min="6" max="6"/>
    <col width="15" customWidth="1" min="7" max="7"/>
    <col width="14" customWidth="1" min="8" max="8"/>
    <col width="2" customWidth="1" min="9" max="9"/>
  </cols>
  <sheetData>
    <row r="1" ht="46" customHeight="1">
      <c r="A1" s="1" t="inlineStr">
        <is>
          <t xml:space="preserve">  ⛽  FUEL LOG</t>
        </is>
      </c>
    </row>
    <row r="2" ht="22" customHeight="1">
      <c r="A2" s="2" t="inlineStr">
        <is>
          <t xml:space="preserve">  Every fill-up — and the live MPG that decides your biggest cost per mile.</t>
        </is>
      </c>
    </row>
    <row r="3" ht="6" customHeight="1">
      <c r="A3" s="3" t="n"/>
      <c r="B3" s="3" t="n"/>
      <c r="C3" s="3" t="n"/>
      <c r="D3" s="3" t="n"/>
      <c r="E3" s="3" t="n"/>
      <c r="F3" s="3" t="n"/>
      <c r="G3" s="3" t="n"/>
      <c r="H3" s="3" t="n"/>
    </row>
    <row r="4" ht="30" customHeight="1">
      <c r="B4" s="9" t="inlineStr">
        <is>
          <t>Date</t>
        </is>
      </c>
      <c r="C4" s="9" t="inlineStr">
        <is>
          <t>State</t>
        </is>
      </c>
      <c r="D4" s="9" t="inlineStr">
        <is>
          <t>Gallons</t>
        </is>
      </c>
      <c r="E4" s="9" t="inlineStr">
        <is>
          <t>$/gal</t>
        </is>
      </c>
      <c r="F4" s="9" t="inlineStr">
        <is>
          <t>Cost</t>
        </is>
      </c>
      <c r="G4" s="9" t="inlineStr">
        <is>
          <t>Odometer</t>
        </is>
      </c>
      <c r="H4" s="9" t="inlineStr">
        <is>
          <t>Miles run</t>
        </is>
      </c>
    </row>
    <row r="5">
      <c r="B5" s="23" t="inlineStr">
        <is>
          <t>07/01</t>
        </is>
      </c>
      <c r="C5" s="23" t="inlineStr">
        <is>
          <t>TX</t>
        </is>
      </c>
      <c r="D5" s="54" t="n">
        <v>215</v>
      </c>
      <c r="E5" s="37" t="n">
        <v>3.79</v>
      </c>
      <c r="F5" s="55">
        <f>D5*E5</f>
        <v/>
      </c>
      <c r="G5" s="54" t="n">
        <v>412500</v>
      </c>
      <c r="H5" s="23" t="inlineStr"/>
    </row>
    <row r="6">
      <c r="B6" s="26" t="inlineStr">
        <is>
          <t>07/04</t>
        </is>
      </c>
      <c r="C6" s="26" t="inlineStr">
        <is>
          <t>TN</t>
        </is>
      </c>
      <c r="D6" s="56" t="n">
        <v>220</v>
      </c>
      <c r="E6" s="57" t="n">
        <v>3.95</v>
      </c>
      <c r="F6" s="58">
        <f>D6*E6</f>
        <v/>
      </c>
      <c r="G6" s="56" t="n">
        <v>413890</v>
      </c>
      <c r="H6" s="67">
        <f>G6-G5</f>
        <v/>
      </c>
    </row>
    <row r="7">
      <c r="B7" s="23" t="inlineStr">
        <is>
          <t>07/07</t>
        </is>
      </c>
      <c r="C7" s="23" t="inlineStr">
        <is>
          <t>FL</t>
        </is>
      </c>
      <c r="D7" s="54" t="n">
        <v>210</v>
      </c>
      <c r="E7" s="37" t="n">
        <v>4.05</v>
      </c>
      <c r="F7" s="55">
        <f>D7*E7</f>
        <v/>
      </c>
      <c r="G7" s="54" t="n">
        <v>415320</v>
      </c>
      <c r="H7" s="68">
        <f>G7-G6</f>
        <v/>
      </c>
    </row>
    <row r="8">
      <c r="B8" s="26" t="inlineStr">
        <is>
          <t>07/11</t>
        </is>
      </c>
      <c r="C8" s="26" t="inlineStr">
        <is>
          <t>AL</t>
        </is>
      </c>
      <c r="D8" s="56" t="n">
        <v>218</v>
      </c>
      <c r="E8" s="57" t="n">
        <v>3.88</v>
      </c>
      <c r="F8" s="58">
        <f>D8*E8</f>
        <v/>
      </c>
      <c r="G8" s="56" t="n">
        <v>416730</v>
      </c>
      <c r="H8" s="67">
        <f>G8-G7</f>
        <v/>
      </c>
    </row>
    <row r="9">
      <c r="B9" s="23" t="inlineStr">
        <is>
          <t>07/14</t>
        </is>
      </c>
      <c r="C9" s="23" t="inlineStr">
        <is>
          <t>CO</t>
        </is>
      </c>
      <c r="D9" s="54" t="n">
        <v>212</v>
      </c>
      <c r="E9" s="37" t="n">
        <v>3.99</v>
      </c>
      <c r="F9" s="55">
        <f>D9*E9</f>
        <v/>
      </c>
      <c r="G9" s="54" t="n">
        <v>418120</v>
      </c>
      <c r="H9" s="68">
        <f>G9-G8</f>
        <v/>
      </c>
    </row>
    <row r="10">
      <c r="B10" s="26" t="inlineStr">
        <is>
          <t>07/17</t>
        </is>
      </c>
      <c r="C10" s="26" t="inlineStr">
        <is>
          <t>MO</t>
        </is>
      </c>
      <c r="D10" s="56" t="n">
        <v>225</v>
      </c>
      <c r="E10" s="57" t="n">
        <v>3.82</v>
      </c>
      <c r="F10" s="58">
        <f>D10*E10</f>
        <v/>
      </c>
      <c r="G10" s="56" t="n">
        <v>419580</v>
      </c>
      <c r="H10" s="67">
        <f>G10-G9</f>
        <v/>
      </c>
    </row>
    <row r="11">
      <c r="B11" s="23" t="inlineStr">
        <is>
          <t>07/21</t>
        </is>
      </c>
      <c r="C11" s="23" t="inlineStr">
        <is>
          <t>TX</t>
        </is>
      </c>
      <c r="D11" s="54" t="n">
        <v>208</v>
      </c>
      <c r="E11" s="37" t="n">
        <v>3.79</v>
      </c>
      <c r="F11" s="55">
        <f>D11*E11</f>
        <v/>
      </c>
      <c r="G11" s="54" t="n">
        <v>420930</v>
      </c>
      <c r="H11" s="68">
        <f>G11-G10</f>
        <v/>
      </c>
    </row>
    <row r="12">
      <c r="B12" s="26" t="inlineStr">
        <is>
          <t>07/26</t>
        </is>
      </c>
      <c r="C12" s="26" t="inlineStr">
        <is>
          <t>OK</t>
        </is>
      </c>
      <c r="D12" s="56" t="n">
        <v>215</v>
      </c>
      <c r="E12" s="57" t="n">
        <v>3.85</v>
      </c>
      <c r="F12" s="58">
        <f>D12*E12</f>
        <v/>
      </c>
      <c r="G12" s="56" t="n">
        <v>422300</v>
      </c>
      <c r="H12" s="67">
        <f>G12-G11</f>
        <v/>
      </c>
    </row>
    <row r="13">
      <c r="B13" s="9" t="inlineStr">
        <is>
          <t>THIS MONTH</t>
        </is>
      </c>
      <c r="C13" s="59" t="n"/>
      <c r="D13" s="60">
        <f>SUM(FuelGal)</f>
        <v/>
      </c>
      <c r="E13" s="59" t="n"/>
      <c r="F13" s="47">
        <f>SUM(FuelCost)</f>
        <v/>
      </c>
    </row>
    <row r="15">
      <c r="B15" s="9">
        <f> ACTUAL MPG (total miles ÷ gallons)</f>
        <v/>
      </c>
      <c r="F15" s="69">
        <f>IFERROR(TotalMiles/GallonsMonth,0)</f>
        <v/>
      </c>
    </row>
    <row r="16">
      <c r="B16" s="27" t="inlineStr">
        <is>
          <t>Average price per gallon paid</t>
        </is>
      </c>
      <c r="F16" s="40">
        <f>IFERROR(FuelSpend/GallonsMonth,0)</f>
        <v/>
      </c>
    </row>
    <row r="18">
      <c r="B18" s="4" t="inlineStr">
        <is>
          <t>Gain half an MPG and you cut about five cents a mile. That is thousands a year.</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2" customWidth="1" min="1" max="1"/>
    <col width="12" customWidth="1" min="2" max="2"/>
    <col width="17" customWidth="1" min="3" max="3"/>
    <col width="38" customWidth="1" min="4" max="4"/>
    <col width="14" customWidth="1" min="5" max="5"/>
    <col width="15" customWidth="1" min="6" max="6"/>
    <col width="2" customWidth="1" min="7" max="7"/>
  </cols>
  <sheetData>
    <row r="1" ht="46" customHeight="1">
      <c r="A1" s="1" t="inlineStr">
        <is>
          <t xml:space="preserve">  🔧  MAINTENANCE</t>
        </is>
      </c>
    </row>
    <row r="2" ht="22" customHeight="1">
      <c r="A2" s="2" t="inlineStr">
        <is>
          <t xml:space="preserve">  Every service and repair — with the odometer, so PM intervals are real.</t>
        </is>
      </c>
    </row>
    <row r="3" ht="6" customHeight="1">
      <c r="A3" s="3" t="n"/>
      <c r="B3" s="3" t="n"/>
      <c r="C3" s="3" t="n"/>
      <c r="D3" s="3" t="n"/>
      <c r="E3" s="3" t="n"/>
      <c r="F3" s="3" t="n"/>
    </row>
    <row r="4" ht="30" customHeight="1">
      <c r="B4" s="9" t="inlineStr">
        <is>
          <t>Date</t>
        </is>
      </c>
      <c r="C4" s="9" t="inlineStr">
        <is>
          <t>Type</t>
        </is>
      </c>
      <c r="D4" s="9" t="inlineStr">
        <is>
          <t>Item</t>
        </is>
      </c>
      <c r="E4" s="9" t="inlineStr">
        <is>
          <t>Cost</t>
        </is>
      </c>
      <c r="F4" s="9" t="inlineStr">
        <is>
          <t>Odometer</t>
        </is>
      </c>
    </row>
    <row r="5">
      <c r="B5" s="62" t="inlineStr">
        <is>
          <t>07/02</t>
        </is>
      </c>
      <c r="C5" s="62" t="inlineStr">
        <is>
          <t>PM service</t>
        </is>
      </c>
      <c r="D5" s="64" t="inlineStr">
        <is>
          <t>Full service — oil, filters, grease</t>
        </is>
      </c>
      <c r="E5" s="63" t="n">
        <v>480</v>
      </c>
      <c r="F5" s="70" t="n">
        <v>412700</v>
      </c>
    </row>
    <row r="6">
      <c r="B6" s="26" t="inlineStr">
        <is>
          <t>07/09</t>
        </is>
      </c>
      <c r="C6" s="26" t="inlineStr">
        <is>
          <t>Tires</t>
        </is>
      </c>
      <c r="D6" s="24" t="inlineStr">
        <is>
          <t>2 steer tires replaced</t>
        </is>
      </c>
      <c r="E6" s="46" t="n">
        <v>1240</v>
      </c>
      <c r="F6" s="67" t="n">
        <v>415400</v>
      </c>
    </row>
    <row r="7">
      <c r="B7" s="62" t="inlineStr">
        <is>
          <t>07/16</t>
        </is>
      </c>
      <c r="C7" s="62" t="inlineStr">
        <is>
          <t>Brakes</t>
        </is>
      </c>
      <c r="D7" s="64" t="inlineStr">
        <is>
          <t>Trailer brake adjustment</t>
        </is>
      </c>
      <c r="E7" s="63" t="n">
        <v>320</v>
      </c>
      <c r="F7" s="70" t="n">
        <v>418200</v>
      </c>
    </row>
    <row r="8">
      <c r="B8" s="26" t="inlineStr">
        <is>
          <t>07/23</t>
        </is>
      </c>
      <c r="C8" s="26" t="inlineStr">
        <is>
          <t>DOT inspection</t>
        </is>
      </c>
      <c r="D8" s="24" t="inlineStr">
        <is>
          <t>Annual DOT inspection</t>
        </is>
      </c>
      <c r="E8" s="46" t="n">
        <v>185</v>
      </c>
      <c r="F8" s="67" t="n">
        <v>421000</v>
      </c>
    </row>
    <row r="9">
      <c r="B9" s="62" t="inlineStr">
        <is>
          <t>07/28</t>
        </is>
      </c>
      <c r="C9" s="62" t="inlineStr">
        <is>
          <t>Repair</t>
        </is>
      </c>
      <c r="D9" s="64" t="inlineStr">
        <is>
          <t>APU belt &amp; alternator</t>
        </is>
      </c>
      <c r="E9" s="63" t="n">
        <v>640</v>
      </c>
      <c r="F9" s="70" t="n">
        <v>422400</v>
      </c>
    </row>
    <row r="10">
      <c r="B10" s="26" t="n"/>
      <c r="C10" s="26" t="n"/>
      <c r="D10" s="24" t="n"/>
      <c r="E10" s="46" t="n"/>
      <c r="F10" s="67" t="n"/>
    </row>
    <row r="11">
      <c r="B11" s="62" t="n"/>
      <c r="C11" s="62" t="n"/>
      <c r="D11" s="64" t="n"/>
      <c r="E11" s="63" t="n"/>
      <c r="F11" s="70" t="n"/>
    </row>
    <row r="12">
      <c r="B12" s="26" t="n"/>
      <c r="C12" s="26" t="n"/>
      <c r="D12" s="24" t="n"/>
      <c r="E12" s="46" t="n"/>
      <c r="F12" s="67" t="n"/>
    </row>
    <row r="13">
      <c r="B13" s="62" t="n"/>
      <c r="C13" s="62" t="n"/>
      <c r="D13" s="64" t="n"/>
      <c r="E13" s="63" t="n"/>
      <c r="F13" s="70" t="n"/>
    </row>
    <row r="14">
      <c r="B14" s="26" t="n"/>
      <c r="C14" s="26" t="n"/>
      <c r="D14" s="24" t="n"/>
      <c r="E14" s="46" t="n"/>
      <c r="F14" s="67" t="n"/>
    </row>
    <row r="15">
      <c r="B15" s="62" t="n"/>
      <c r="C15" s="62" t="n"/>
      <c r="D15" s="64" t="n"/>
      <c r="E15" s="63" t="n"/>
      <c r="F15" s="70" t="n"/>
    </row>
    <row r="16">
      <c r="B16" s="26" t="n"/>
      <c r="C16" s="26" t="n"/>
      <c r="D16" s="24" t="n"/>
      <c r="E16" s="46" t="n"/>
      <c r="F16" s="67" t="n"/>
    </row>
    <row r="17">
      <c r="B17" s="62" t="n"/>
      <c r="C17" s="62" t="n"/>
      <c r="D17" s="64" t="n"/>
      <c r="E17" s="63" t="n"/>
      <c r="F17" s="70" t="n"/>
    </row>
    <row r="18">
      <c r="B18" s="26" t="n"/>
      <c r="C18" s="26" t="n"/>
      <c r="D18" s="24" t="n"/>
      <c r="E18" s="46" t="n"/>
      <c r="F18" s="67" t="n"/>
    </row>
    <row r="19">
      <c r="B19" s="62" t="n"/>
      <c r="C19" s="62" t="n"/>
      <c r="D19" s="64" t="n"/>
      <c r="E19" s="63" t="n"/>
      <c r="F19" s="70" t="n"/>
    </row>
    <row r="20">
      <c r="B20" s="26" t="n"/>
      <c r="C20" s="26" t="n"/>
      <c r="D20" s="24" t="n"/>
      <c r="E20" s="46" t="n"/>
      <c r="F20" s="67" t="n"/>
    </row>
    <row r="21">
      <c r="B21" s="62" t="n"/>
      <c r="C21" s="62" t="n"/>
      <c r="D21" s="64" t="n"/>
      <c r="E21" s="63" t="n"/>
      <c r="F21" s="70" t="n"/>
    </row>
    <row r="22">
      <c r="B22" s="26" t="n"/>
      <c r="C22" s="26" t="n"/>
      <c r="D22" s="24" t="n"/>
      <c r="E22" s="46" t="n"/>
      <c r="F22" s="67" t="n"/>
    </row>
    <row r="23">
      <c r="B23" s="62" t="n"/>
      <c r="C23" s="62" t="n"/>
      <c r="D23" s="64" t="n"/>
      <c r="E23" s="63" t="n"/>
      <c r="F23" s="70" t="n"/>
    </row>
    <row r="24">
      <c r="B24" s="26" t="n"/>
      <c r="C24" s="26" t="n"/>
      <c r="D24" s="24" t="n"/>
      <c r="E24" s="46" t="n"/>
      <c r="F24" s="67" t="n"/>
    </row>
    <row r="25">
      <c r="B25" s="62" t="n"/>
      <c r="C25" s="62" t="n"/>
      <c r="D25" s="64" t="n"/>
      <c r="E25" s="63" t="n"/>
      <c r="F25" s="70" t="n"/>
    </row>
    <row r="26">
      <c r="B26" s="26" t="n"/>
      <c r="C26" s="26" t="n"/>
      <c r="D26" s="24" t="n"/>
      <c r="E26" s="46" t="n"/>
      <c r="F26" s="67" t="n"/>
    </row>
    <row r="27">
      <c r="B27" s="62" t="n"/>
      <c r="C27" s="62" t="n"/>
      <c r="D27" s="64" t="n"/>
      <c r="E27" s="63" t="n"/>
      <c r="F27" s="70" t="n"/>
    </row>
    <row r="28">
      <c r="B28" s="26" t="n"/>
      <c r="C28" s="26" t="n"/>
      <c r="D28" s="24" t="n"/>
      <c r="E28" s="46" t="n"/>
      <c r="F28" s="67" t="n"/>
    </row>
    <row r="29">
      <c r="B29" s="62" t="n"/>
      <c r="C29" s="62" t="n"/>
      <c r="D29" s="64" t="n"/>
      <c r="E29" s="63" t="n"/>
      <c r="F29" s="70" t="n"/>
    </row>
    <row r="30">
      <c r="B30" s="26" t="n"/>
      <c r="C30" s="26" t="n"/>
      <c r="D30" s="24" t="n"/>
      <c r="E30" s="46" t="n"/>
      <c r="F30" s="67" t="n"/>
    </row>
    <row r="31">
      <c r="B31" s="62" t="n"/>
      <c r="C31" s="62" t="n"/>
      <c r="D31" s="64" t="n"/>
      <c r="E31" s="63" t="n"/>
      <c r="F31" s="70" t="n"/>
    </row>
    <row r="32">
      <c r="B32" s="26" t="n"/>
      <c r="C32" s="26" t="n"/>
      <c r="D32" s="24" t="n"/>
      <c r="E32" s="46" t="n"/>
      <c r="F32" s="67" t="n"/>
    </row>
    <row r="33">
      <c r="B33" s="62" t="n"/>
      <c r="C33" s="62" t="n"/>
      <c r="D33" s="64" t="n"/>
      <c r="E33" s="63" t="n"/>
      <c r="F33" s="70" t="n"/>
    </row>
    <row r="34">
      <c r="B34" s="26" t="n"/>
      <c r="C34" s="26" t="n"/>
      <c r="D34" s="24" t="n"/>
      <c r="E34" s="46" t="n"/>
      <c r="F34" s="67" t="n"/>
    </row>
    <row r="35">
      <c r="B35" s="62" t="n"/>
      <c r="C35" s="62" t="n"/>
      <c r="D35" s="64" t="n"/>
      <c r="E35" s="63" t="n"/>
      <c r="F35" s="70" t="n"/>
    </row>
    <row r="36">
      <c r="B36" s="26" t="n"/>
      <c r="C36" s="26" t="n"/>
      <c r="D36" s="24" t="n"/>
      <c r="E36" s="46" t="n"/>
      <c r="F36" s="67" t="n"/>
    </row>
    <row r="37">
      <c r="B37" s="62" t="n"/>
      <c r="C37" s="62" t="n"/>
      <c r="D37" s="64" t="n"/>
      <c r="E37" s="63" t="n"/>
      <c r="F37" s="70" t="n"/>
    </row>
    <row r="38">
      <c r="B38" s="26" t="n"/>
      <c r="C38" s="26" t="n"/>
      <c r="D38" s="24" t="n"/>
      <c r="E38" s="46" t="n"/>
      <c r="F38" s="67" t="n"/>
    </row>
    <row r="39">
      <c r="B39" s="62" t="n"/>
      <c r="C39" s="62" t="n"/>
      <c r="D39" s="64" t="n"/>
      <c r="E39" s="63" t="n"/>
      <c r="F39" s="70" t="n"/>
    </row>
    <row r="40">
      <c r="B40" s="26" t="n"/>
      <c r="C40" s="26" t="n"/>
      <c r="D40" s="24" t="n"/>
      <c r="E40" s="46" t="n"/>
      <c r="F40" s="67" t="n"/>
    </row>
    <row r="41">
      <c r="B41" s="62" t="n"/>
      <c r="C41" s="62" t="n"/>
      <c r="D41" s="64" t="n"/>
      <c r="E41" s="63" t="n"/>
      <c r="F41" s="70" t="n"/>
    </row>
    <row r="42">
      <c r="B42" s="26" t="n"/>
      <c r="C42" s="26" t="n"/>
      <c r="D42" s="24" t="n"/>
      <c r="E42" s="46" t="n"/>
      <c r="F42" s="67" t="n"/>
    </row>
    <row r="43">
      <c r="B43" s="62" t="n"/>
      <c r="C43" s="62" t="n"/>
      <c r="D43" s="64" t="n"/>
      <c r="E43" s="63" t="n"/>
      <c r="F43" s="70" t="n"/>
    </row>
    <row r="44">
      <c r="B44" s="26" t="n"/>
      <c r="C44" s="26" t="n"/>
      <c r="D44" s="24" t="n"/>
      <c r="E44" s="46" t="n"/>
      <c r="F44" s="67" t="n"/>
    </row>
    <row r="46">
      <c r="B46" s="9" t="inlineStr">
        <is>
          <t>SPENT THIS MONTH</t>
        </is>
      </c>
      <c r="E46" s="71">
        <f>SUM(MaintCost)</f>
        <v/>
      </c>
    </row>
    <row r="47">
      <c r="B47" s="27" t="inlineStr">
        <is>
          <t>Per mile run</t>
        </is>
      </c>
      <c r="E47" s="72">
        <f>IFERROR(MaintSpend/TotalMiles,0)</f>
        <v/>
      </c>
    </row>
    <row r="49">
      <c r="B49" s="4" t="inlineStr">
        <is>
          <t>If this is consistently above your reserve rate, raise the reserve — don't hope.</t>
        </is>
      </c>
    </row>
  </sheetData>
  <mergeCells count="2">
    <mergeCell ref="A2:F2"/>
    <mergeCell ref="A1:F1"/>
  </mergeCells>
  <dataValidations count="1">
    <dataValidation sqref="C5:C44" showDropDown="0" showInputMessage="0" showErrorMessage="0" allowBlank="1" type="list">
      <formula1>=MaintTypeList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6"/>
  <sheetViews>
    <sheetView showGridLines="0" workbookViewId="0">
      <pane ySplit="4" topLeftCell="A5" activePane="bottomLeft" state="frozen"/>
      <selection pane="bottomLeft" activeCell="A1" sqref="A1"/>
    </sheetView>
  </sheetViews>
  <sheetFormatPr baseColWidth="8" defaultRowHeight="15"/>
  <cols>
    <col width="2" customWidth="1" min="1" max="1"/>
    <col width="34" customWidth="1" min="2" max="2"/>
    <col width="16" customWidth="1" min="3" max="3"/>
    <col width="16" customWidth="1" min="4" max="4"/>
    <col width="18" customWidth="1" min="5" max="5"/>
    <col width="16" customWidth="1" min="6" max="6"/>
    <col width="2" customWidth="1" min="7" max="7"/>
  </cols>
  <sheetData>
    <row r="1" ht="46" customHeight="1">
      <c r="A1" s="1" t="inlineStr">
        <is>
          <t xml:space="preserve">  🚛  TRUCK &amp; TRAILER</t>
        </is>
      </c>
    </row>
    <row r="2" ht="22" customHeight="1">
      <c r="A2" s="2" t="inlineStr">
        <is>
          <t xml:space="preserve">  What you own, what it's worth, and what it costs you every month.</t>
        </is>
      </c>
    </row>
    <row r="3" ht="6" customHeight="1">
      <c r="A3" s="3" t="n"/>
      <c r="B3" s="3" t="n"/>
      <c r="C3" s="3" t="n"/>
      <c r="D3" s="3" t="n"/>
      <c r="E3" s="3" t="n"/>
      <c r="F3" s="3" t="n"/>
    </row>
    <row r="4" ht="30" customHeight="1">
      <c r="B4" s="9" t="inlineStr">
        <is>
          <t>Item</t>
        </is>
      </c>
      <c r="C4" s="9" t="inlineStr">
        <is>
          <t>Type</t>
        </is>
      </c>
      <c r="D4" s="9" t="inlineStr">
        <is>
          <t>Value</t>
        </is>
      </c>
      <c r="E4" s="9" t="inlineStr">
        <is>
          <t>Monthly payment</t>
        </is>
      </c>
      <c r="F4" s="9" t="inlineStr">
        <is>
          <t>Yearly</t>
        </is>
      </c>
    </row>
    <row r="5">
      <c r="B5" s="64" t="inlineStr">
        <is>
          <t>2021 Freightliner Cascadia</t>
        </is>
      </c>
      <c r="C5" s="62" t="inlineStr">
        <is>
          <t>Tractor</t>
        </is>
      </c>
      <c r="D5" s="63" t="n">
        <v>92000</v>
      </c>
      <c r="E5" s="63" t="n">
        <v>2200</v>
      </c>
      <c r="F5" s="63">
        <f>E5*12</f>
        <v/>
      </c>
    </row>
    <row r="6">
      <c r="B6" s="24" t="inlineStr">
        <is>
          <t>2019 Utility 53' dry van</t>
        </is>
      </c>
      <c r="C6" s="26" t="inlineStr">
        <is>
          <t>Trailer</t>
        </is>
      </c>
      <c r="D6" s="46" t="n">
        <v>34000</v>
      </c>
      <c r="E6" s="46" t="n">
        <v>600</v>
      </c>
      <c r="F6" s="46">
        <f>E6*12</f>
        <v/>
      </c>
    </row>
    <row r="7">
      <c r="B7" s="64" t="inlineStr">
        <is>
          <t>Motive ELD</t>
        </is>
      </c>
      <c r="C7" s="62" t="inlineStr">
        <is>
          <t>ELD</t>
        </is>
      </c>
      <c r="D7" s="63" t="n">
        <v>0</v>
      </c>
      <c r="E7" s="63" t="n">
        <v>45</v>
      </c>
      <c r="F7" s="63">
        <f>E7*12</f>
        <v/>
      </c>
    </row>
    <row r="8">
      <c r="B8" s="24" t="inlineStr">
        <is>
          <t>Thermo King APU</t>
        </is>
      </c>
      <c r="C8" s="26" t="inlineStr">
        <is>
          <t>APU</t>
        </is>
      </c>
      <c r="D8" s="46" t="n">
        <v>8500</v>
      </c>
      <c r="E8" s="46" t="n">
        <v>0</v>
      </c>
      <c r="F8" s="46">
        <f>E8*12</f>
        <v/>
      </c>
    </row>
    <row r="9">
      <c r="B9" s="64" t="inlineStr">
        <is>
          <t>Tool box &amp; road kit</t>
        </is>
      </c>
      <c r="C9" s="62" t="inlineStr">
        <is>
          <t>Tools</t>
        </is>
      </c>
      <c r="D9" s="63" t="n">
        <v>1800</v>
      </c>
      <c r="E9" s="63" t="n">
        <v>0</v>
      </c>
      <c r="F9" s="63">
        <f>E9*12</f>
        <v/>
      </c>
    </row>
    <row r="10">
      <c r="B10" s="24" t="n"/>
      <c r="C10" s="26" t="n"/>
      <c r="D10" s="46" t="n"/>
      <c r="E10" s="46" t="n"/>
      <c r="F10" s="46" t="n"/>
    </row>
    <row r="11">
      <c r="B11" s="64" t="n"/>
      <c r="C11" s="62" t="n"/>
      <c r="D11" s="63" t="n"/>
      <c r="E11" s="63" t="n"/>
      <c r="F11" s="63" t="n"/>
    </row>
    <row r="12">
      <c r="B12" s="24" t="n"/>
      <c r="C12" s="26" t="n"/>
      <c r="D12" s="46" t="n"/>
      <c r="E12" s="46" t="n"/>
      <c r="F12" s="46" t="n"/>
    </row>
    <row r="13">
      <c r="B13" s="64" t="n"/>
      <c r="C13" s="62" t="n"/>
      <c r="D13" s="63" t="n"/>
      <c r="E13" s="63" t="n"/>
      <c r="F13" s="63" t="n"/>
    </row>
    <row r="14">
      <c r="B14" s="24" t="n"/>
      <c r="C14" s="26" t="n"/>
      <c r="D14" s="46" t="n"/>
      <c r="E14" s="46" t="n"/>
      <c r="F14" s="46" t="n"/>
    </row>
    <row r="15">
      <c r="B15" s="64" t="n"/>
      <c r="C15" s="62" t="n"/>
      <c r="D15" s="63" t="n"/>
      <c r="E15" s="63" t="n"/>
      <c r="F15" s="63" t="n"/>
    </row>
    <row r="16">
      <c r="B16" s="24" t="n"/>
      <c r="C16" s="26" t="n"/>
      <c r="D16" s="46" t="n"/>
      <c r="E16" s="46" t="n"/>
      <c r="F16" s="46" t="n"/>
    </row>
    <row r="17">
      <c r="B17" s="64" t="n"/>
      <c r="C17" s="62" t="n"/>
      <c r="D17" s="63" t="n"/>
      <c r="E17" s="63" t="n"/>
      <c r="F17" s="63" t="n"/>
    </row>
    <row r="18">
      <c r="B18" s="24" t="n"/>
      <c r="C18" s="26" t="n"/>
      <c r="D18" s="46" t="n"/>
      <c r="E18" s="46" t="n"/>
      <c r="F18" s="46" t="n"/>
    </row>
    <row r="19">
      <c r="B19" s="64" t="n"/>
      <c r="C19" s="62" t="n"/>
      <c r="D19" s="63" t="n"/>
      <c r="E19" s="63" t="n"/>
      <c r="F19" s="63" t="n"/>
    </row>
    <row r="20">
      <c r="B20" s="24" t="n"/>
      <c r="C20" s="26" t="n"/>
      <c r="D20" s="46" t="n"/>
      <c r="E20" s="46" t="n"/>
      <c r="F20" s="46" t="n"/>
    </row>
    <row r="21">
      <c r="B21" s="64" t="n"/>
      <c r="C21" s="62" t="n"/>
      <c r="D21" s="63" t="n"/>
      <c r="E21" s="63" t="n"/>
      <c r="F21" s="63" t="n"/>
    </row>
    <row r="22">
      <c r="B22" s="24" t="n"/>
      <c r="C22" s="26" t="n"/>
      <c r="D22" s="46" t="n"/>
      <c r="E22" s="46" t="n"/>
      <c r="F22" s="46" t="n"/>
    </row>
    <row r="23">
      <c r="B23" s="64" t="n"/>
      <c r="C23" s="62" t="n"/>
      <c r="D23" s="63" t="n"/>
      <c r="E23" s="63" t="n"/>
      <c r="F23" s="63" t="n"/>
    </row>
    <row r="24">
      <c r="B24" s="24" t="n"/>
      <c r="C24" s="26" t="n"/>
      <c r="D24" s="46" t="n"/>
      <c r="E24" s="46" t="n"/>
      <c r="F24" s="46" t="n"/>
    </row>
    <row r="25">
      <c r="B25" s="64" t="n"/>
      <c r="C25" s="62" t="n"/>
      <c r="D25" s="63" t="n"/>
      <c r="E25" s="63" t="n"/>
      <c r="F25" s="63" t="n"/>
    </row>
    <row r="26">
      <c r="B26" s="24" t="n"/>
      <c r="C26" s="26" t="n"/>
      <c r="D26" s="46" t="n"/>
      <c r="E26" s="46" t="n"/>
      <c r="F26" s="46" t="n"/>
    </row>
    <row r="27">
      <c r="B27" s="64" t="n"/>
      <c r="C27" s="62" t="n"/>
      <c r="D27" s="63" t="n"/>
      <c r="E27" s="63" t="n"/>
      <c r="F27" s="63" t="n"/>
    </row>
    <row r="28">
      <c r="B28" s="24" t="n"/>
      <c r="C28" s="26" t="n"/>
      <c r="D28" s="46" t="n"/>
      <c r="E28" s="46" t="n"/>
      <c r="F28" s="46" t="n"/>
    </row>
    <row r="29">
      <c r="B29" s="64" t="n"/>
      <c r="C29" s="62" t="n"/>
      <c r="D29" s="63" t="n"/>
      <c r="E29" s="63" t="n"/>
      <c r="F29" s="63" t="n"/>
    </row>
    <row r="30">
      <c r="B30" s="24" t="n"/>
      <c r="C30" s="26" t="n"/>
      <c r="D30" s="46" t="n"/>
      <c r="E30" s="46" t="n"/>
      <c r="F30" s="46" t="n"/>
    </row>
    <row r="31">
      <c r="B31" s="64" t="n"/>
      <c r="C31" s="62" t="n"/>
      <c r="D31" s="63" t="n"/>
      <c r="E31" s="63" t="n"/>
      <c r="F31" s="63" t="n"/>
    </row>
    <row r="32">
      <c r="B32" s="24" t="n"/>
      <c r="C32" s="26" t="n"/>
      <c r="D32" s="46" t="n"/>
      <c r="E32" s="46" t="n"/>
      <c r="F32" s="46" t="n"/>
    </row>
    <row r="33">
      <c r="B33" s="64" t="n"/>
      <c r="C33" s="62" t="n"/>
      <c r="D33" s="63" t="n"/>
      <c r="E33" s="63" t="n"/>
      <c r="F33" s="63" t="n"/>
    </row>
    <row r="34">
      <c r="B34" s="24" t="n"/>
      <c r="C34" s="26" t="n"/>
      <c r="D34" s="46" t="n"/>
      <c r="E34" s="46" t="n"/>
      <c r="F34" s="46" t="n"/>
    </row>
    <row r="35">
      <c r="B35" s="64" t="n"/>
      <c r="C35" s="62" t="n"/>
      <c r="D35" s="63" t="n"/>
      <c r="E35" s="63" t="n"/>
      <c r="F35" s="63" t="n"/>
    </row>
    <row r="36">
      <c r="B36" s="24" t="n"/>
      <c r="C36" s="26" t="n"/>
      <c r="D36" s="46" t="n"/>
      <c r="E36" s="46" t="n"/>
      <c r="F36" s="46" t="n"/>
    </row>
    <row r="37">
      <c r="B37" s="64" t="n"/>
      <c r="C37" s="62" t="n"/>
      <c r="D37" s="63" t="n"/>
      <c r="E37" s="63" t="n"/>
      <c r="F37" s="63" t="n"/>
    </row>
    <row r="38">
      <c r="B38" s="24" t="n"/>
      <c r="C38" s="26" t="n"/>
      <c r="D38" s="46" t="n"/>
      <c r="E38" s="46" t="n"/>
      <c r="F38" s="46" t="n"/>
    </row>
    <row r="39">
      <c r="B39" s="64" t="n"/>
      <c r="C39" s="62" t="n"/>
      <c r="D39" s="63" t="n"/>
      <c r="E39" s="63" t="n"/>
      <c r="F39" s="63" t="n"/>
    </row>
    <row r="40">
      <c r="B40" s="24" t="n"/>
      <c r="C40" s="26" t="n"/>
      <c r="D40" s="46" t="n"/>
      <c r="E40" s="46" t="n"/>
      <c r="F40" s="46" t="n"/>
    </row>
    <row r="41">
      <c r="B41" s="64" t="n"/>
      <c r="C41" s="62" t="n"/>
      <c r="D41" s="63" t="n"/>
      <c r="E41" s="63" t="n"/>
      <c r="F41" s="63" t="n"/>
    </row>
    <row r="42">
      <c r="B42" s="24" t="n"/>
      <c r="C42" s="26" t="n"/>
      <c r="D42" s="46" t="n"/>
      <c r="E42" s="46" t="n"/>
      <c r="F42" s="46" t="n"/>
    </row>
    <row r="43">
      <c r="B43" s="64" t="n"/>
      <c r="C43" s="62" t="n"/>
      <c r="D43" s="63" t="n"/>
      <c r="E43" s="63" t="n"/>
      <c r="F43" s="63" t="n"/>
    </row>
    <row r="44">
      <c r="B44" s="24" t="n"/>
      <c r="C44" s="26" t="n"/>
      <c r="D44" s="46" t="n"/>
      <c r="E44" s="46" t="n"/>
      <c r="F44" s="46" t="n"/>
    </row>
    <row r="46">
      <c r="B46" s="9" t="inlineStr">
        <is>
          <t>TOTAL</t>
        </is>
      </c>
      <c r="D46" s="65">
        <f>SUM(EquipValue)</f>
        <v/>
      </c>
      <c r="E46" s="47">
        <f>SUM(EquipPay)</f>
        <v/>
      </c>
    </row>
  </sheetData>
  <mergeCells count="2">
    <mergeCell ref="A2:F2"/>
    <mergeCell ref="A1:F1"/>
  </mergeCells>
  <dataValidations count="1">
    <dataValidation sqref="C5:C44" showDropDown="0" showInputMessage="0" showErrorMessage="0" allowBlank="1" type="list">
      <formula1>=EquipTypeList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2" customWidth="1" min="1" max="1"/>
    <col width="18" customWidth="1" min="2" max="2"/>
    <col width="16" customWidth="1" min="3" max="3"/>
    <col width="16" customWidth="1" min="4" max="4"/>
    <col width="16" customWidth="1" min="5" max="5"/>
    <col width="2" customWidth="1" min="6" max="6"/>
  </cols>
  <sheetData>
    <row r="1" ht="46" customHeight="1">
      <c r="A1" s="1" t="inlineStr">
        <is>
          <t xml:space="preserve">  🗺  IFTA &amp; MILES BY STATE</t>
        </is>
      </c>
    </row>
    <row r="2" ht="22" customHeight="1">
      <c r="A2" s="2" t="inlineStr">
        <is>
          <t xml:space="preserve">  Miles per state and the gallons that go with them — quarterly filing made painless.</t>
        </is>
      </c>
    </row>
    <row r="3" ht="6" customHeight="1">
      <c r="A3" s="3" t="n"/>
      <c r="B3" s="3" t="n"/>
      <c r="C3" s="3" t="n"/>
      <c r="D3" s="3" t="n"/>
      <c r="E3" s="3" t="n"/>
    </row>
    <row r="4" ht="30" customHeight="1">
      <c r="B4" s="9" t="inlineStr">
        <is>
          <t>State</t>
        </is>
      </c>
      <c r="C4" s="9" t="inlineStr">
        <is>
          <t>Miles</t>
        </is>
      </c>
      <c r="D4" s="9" t="inlineStr">
        <is>
          <t>Gallons</t>
        </is>
      </c>
      <c r="E4" s="9" t="inlineStr">
        <is>
          <t>Share</t>
        </is>
      </c>
    </row>
    <row r="5">
      <c r="B5" s="23" t="inlineStr">
        <is>
          <t>TX</t>
        </is>
      </c>
      <c r="C5" s="54" t="n">
        <v>2400</v>
      </c>
      <c r="D5" s="73">
        <f>IFERROR(C5/MPG,0)</f>
        <v/>
      </c>
      <c r="E5" s="74">
        <f>IFERROR(C5/TotalMiles,0)</f>
        <v/>
      </c>
    </row>
    <row r="6">
      <c r="B6" s="26" t="inlineStr">
        <is>
          <t>OK</t>
        </is>
      </c>
      <c r="C6" s="56" t="n">
        <v>900</v>
      </c>
      <c r="D6" s="75">
        <f>IFERROR(C6/MPG,0)</f>
        <v/>
      </c>
      <c r="E6" s="76">
        <f>IFERROR(C6/TotalMiles,0)</f>
        <v/>
      </c>
    </row>
    <row r="7">
      <c r="B7" s="23" t="inlineStr">
        <is>
          <t>AR</t>
        </is>
      </c>
      <c r="C7" s="54" t="n">
        <v>1100</v>
      </c>
      <c r="D7" s="73">
        <f>IFERROR(C7/MPG,0)</f>
        <v/>
      </c>
      <c r="E7" s="74">
        <f>IFERROR(C7/TotalMiles,0)</f>
        <v/>
      </c>
    </row>
    <row r="8">
      <c r="B8" s="26" t="inlineStr">
        <is>
          <t>TN</t>
        </is>
      </c>
      <c r="C8" s="56" t="n">
        <v>1400</v>
      </c>
      <c r="D8" s="75">
        <f>IFERROR(C8/MPG,0)</f>
        <v/>
      </c>
      <c r="E8" s="76">
        <f>IFERROR(C8/TotalMiles,0)</f>
        <v/>
      </c>
    </row>
    <row r="9">
      <c r="B9" s="23" t="inlineStr">
        <is>
          <t>GA</t>
        </is>
      </c>
      <c r="C9" s="54" t="n">
        <v>1300</v>
      </c>
      <c r="D9" s="73">
        <f>IFERROR(C9/MPG,0)</f>
        <v/>
      </c>
      <c r="E9" s="74">
        <f>IFERROR(C9/TotalMiles,0)</f>
        <v/>
      </c>
    </row>
    <row r="10">
      <c r="B10" s="26" t="inlineStr">
        <is>
          <t>FL</t>
        </is>
      </c>
      <c r="C10" s="56" t="n">
        <v>1600</v>
      </c>
      <c r="D10" s="75">
        <f>IFERROR(C10/MPG,0)</f>
        <v/>
      </c>
      <c r="E10" s="76">
        <f>IFERROR(C10/TotalMiles,0)</f>
        <v/>
      </c>
    </row>
    <row r="11">
      <c r="B11" s="23" t="inlineStr">
        <is>
          <t>AL</t>
        </is>
      </c>
      <c r="C11" s="54" t="n">
        <v>1000</v>
      </c>
      <c r="D11" s="73">
        <f>IFERROR(C11/MPG,0)</f>
        <v/>
      </c>
      <c r="E11" s="74">
        <f>IFERROR(C11/TotalMiles,0)</f>
        <v/>
      </c>
    </row>
    <row r="12">
      <c r="B12" s="26" t="inlineStr">
        <is>
          <t>MS</t>
        </is>
      </c>
      <c r="C12" s="56" t="n">
        <v>800</v>
      </c>
      <c r="D12" s="75">
        <f>IFERROR(C12/MPG,0)</f>
        <v/>
      </c>
      <c r="E12" s="76">
        <f>IFERROR(C12/TotalMiles,0)</f>
        <v/>
      </c>
    </row>
    <row r="13">
      <c r="B13" s="23" t="inlineStr">
        <is>
          <t>LA</t>
        </is>
      </c>
      <c r="C13" s="54" t="n">
        <v>700</v>
      </c>
      <c r="D13" s="73">
        <f>IFERROR(C13/MPG,0)</f>
        <v/>
      </c>
      <c r="E13" s="74">
        <f>IFERROR(C13/TotalMiles,0)</f>
        <v/>
      </c>
    </row>
    <row r="14">
      <c r="B14" s="9" t="inlineStr">
        <is>
          <t>ALL STATES</t>
        </is>
      </c>
      <c r="C14" s="77">
        <f>SUM(IftaMiles)</f>
        <v/>
      </c>
      <c r="D14" s="78">
        <f>IFERROR(IftaTotal/MPG,0)</f>
        <v/>
      </c>
    </row>
    <row r="16">
      <c r="B16" s="4" t="inlineStr">
        <is>
          <t>State miles should tie back to your total miles run. If they don't, a trip sheet is missing.</t>
        </is>
      </c>
    </row>
  </sheetData>
  <mergeCells count="2">
    <mergeCell ref="A2:E2"/>
    <mergeCell ref="A1:E1"/>
  </mergeCells>
  <conditionalFormatting sqref="C5:C13">
    <cfRule type="dataBar" priority="1">
      <dataBar>
        <cfvo type="min"/>
        <cfvo type="max"/>
        <color rgb="0075E6C1"/>
      </dataBar>
    </cfRule>
  </conditionalFormatting>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2" customWidth="1" min="1" max="1"/>
    <col width="34" customWidth="1" min="2" max="2"/>
    <col width="16" customWidth="1" min="3" max="3"/>
    <col width="16" customWidth="1" min="4" max="4"/>
    <col width="16" customWidth="1" min="5" max="5"/>
    <col width="2" customWidth="1" min="6" max="6"/>
  </cols>
  <sheetData>
    <row r="1" ht="46" customHeight="1">
      <c r="A1" s="1" t="inlineStr">
        <is>
          <t xml:space="preserve">  🛡  MAINTENANCE RESERVE FUND</t>
        </is>
      </c>
    </row>
    <row r="2" ht="22" customHeight="1">
      <c r="A2" s="2" t="inlineStr">
        <is>
          <t xml:space="preserve">  The fund that decides whether a blown engine is a bad week or the end of the business.</t>
        </is>
      </c>
    </row>
    <row r="3" ht="6" customHeight="1">
      <c r="A3" s="3" t="n"/>
      <c r="B3" s="3" t="n"/>
      <c r="C3" s="3" t="n"/>
      <c r="D3" s="3" t="n"/>
      <c r="E3" s="3" t="n"/>
    </row>
    <row r="4" ht="30" customHeight="1">
      <c r="B4" s="9" t="inlineStr">
        <is>
          <t>Fund</t>
        </is>
      </c>
      <c r="C4" s="9" t="inlineStr">
        <is>
          <t>Target</t>
        </is>
      </c>
      <c r="D4" s="9" t="inlineStr">
        <is>
          <t>Saved</t>
        </is>
      </c>
      <c r="E4" s="9" t="inlineStr">
        <is>
          <t>Funded</t>
        </is>
      </c>
    </row>
    <row r="5">
      <c r="B5" s="21" t="inlineStr">
        <is>
          <t>Engine &amp; transmission</t>
        </is>
      </c>
      <c r="C5" s="43" t="n">
        <v>6000</v>
      </c>
      <c r="D5" s="43" t="n">
        <v>2400</v>
      </c>
      <c r="E5" s="22">
        <f>IFERROR(D5/C5,0)</f>
        <v/>
      </c>
    </row>
    <row r="6">
      <c r="B6" s="24" t="inlineStr">
        <is>
          <t>Tires</t>
        </is>
      </c>
      <c r="C6" s="45" t="n">
        <v>2500</v>
      </c>
      <c r="D6" s="45" t="n">
        <v>900</v>
      </c>
      <c r="E6" s="25">
        <f>IFERROR(D6/C6,0)</f>
        <v/>
      </c>
    </row>
    <row r="7">
      <c r="B7" s="21" t="inlineStr">
        <is>
          <t>Insurance deductible</t>
        </is>
      </c>
      <c r="C7" s="43" t="n">
        <v>1500</v>
      </c>
      <c r="D7" s="43" t="n">
        <v>700</v>
      </c>
      <c r="E7" s="22">
        <f>IFERROR(D7/C7,0)</f>
        <v/>
      </c>
    </row>
    <row r="8">
      <c r="B8" s="9" t="inlineStr">
        <is>
          <t>ALL RESERVES</t>
        </is>
      </c>
      <c r="C8" s="65">
        <f>SUM(ResTarget)</f>
        <v/>
      </c>
      <c r="D8" s="47">
        <f>SUM(ResSaved)</f>
        <v/>
      </c>
      <c r="E8" s="79">
        <f>IFERROR(Reserve/ReserveGoal,0)</f>
        <v/>
      </c>
    </row>
    <row r="10">
      <c r="B10" s="27" t="inlineStr">
        <is>
          <t>Set aside per mile run to fully fund it</t>
        </is>
      </c>
      <c r="D10" s="72">
        <f>IFERROR((ReserveGoal-Reserve)/TotalMiles/6,0)</f>
        <v/>
      </c>
    </row>
    <row r="11">
      <c r="B11" s="27" t="inlineStr">
        <is>
          <t>(Fully funded in six months at that rate.)</t>
        </is>
      </c>
    </row>
    <row r="13">
      <c r="B13" s="4" t="inlineStr">
        <is>
          <t>An engine costs about the same whether or not you saved for it. One of those is survivable.</t>
        </is>
      </c>
    </row>
  </sheetData>
  <mergeCells count="2">
    <mergeCell ref="A2:E2"/>
    <mergeCell ref="A1:E1"/>
  </mergeCells>
  <conditionalFormatting sqref="E5:E7">
    <cfRule type="colorScale" priority="1">
      <colorScale>
        <cfvo type="num" val="0"/>
        <cfvo type="num" val="0.5"/>
        <cfvo type="num" val="1"/>
        <color rgb="FFFBE6E6"/>
        <color rgb="FFFFF3CD"/>
        <color rgb="FF75E6C1"/>
      </colorScale>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 customWidth="1" min="1" max="1"/>
    <col width="34" customWidth="1" min="2" max="2"/>
    <col width="18" customWidth="1" min="3" max="3"/>
    <col width="2" customWidth="1" min="4" max="4"/>
  </cols>
  <sheetData>
    <row r="1" ht="46" customHeight="1">
      <c r="A1" s="1" t="inlineStr">
        <is>
          <t xml:space="preserve">  📈  MONTHLY SUMMARY</t>
        </is>
      </c>
    </row>
    <row r="2" ht="22" customHeight="1">
      <c r="A2" s="2" t="inlineStr">
        <is>
          <t xml:space="preserve">  Revenue month by month — and the profit per mile that says whether the year is working.</t>
        </is>
      </c>
    </row>
    <row r="3" ht="6" customHeight="1">
      <c r="A3" s="3" t="n"/>
      <c r="B3" s="3" t="n"/>
      <c r="C3" s="3" t="n"/>
    </row>
    <row r="5">
      <c r="B5" s="4" t="inlineStr">
        <is>
          <t>THIS MONTH</t>
        </is>
      </c>
    </row>
    <row r="6">
      <c r="B6" s="27" t="inlineStr">
        <is>
          <t>Revenue</t>
        </is>
      </c>
      <c r="C6" s="80">
        <f>MonthlyRevenue</f>
        <v/>
      </c>
    </row>
    <row r="7">
      <c r="B7" s="27" t="inlineStr">
        <is>
          <t>− Total cost (fixed + variable)</t>
        </is>
      </c>
      <c r="C7" s="80">
        <f>TotalCostMonth</f>
        <v/>
      </c>
    </row>
    <row r="8">
      <c r="B8" s="9">
        <f> MONTHLY PROFIT</f>
        <v/>
      </c>
      <c r="C8" s="81">
        <f>MonthlyRevenue-TotalCostMonth</f>
        <v/>
      </c>
    </row>
    <row r="9">
      <c r="B9" s="9">
        <f> NET MARGIN</f>
        <v/>
      </c>
      <c r="C9" s="82">
        <f>IFERROR(MonthlyProfit/MonthlyRevenue,0)</f>
        <v/>
      </c>
    </row>
    <row r="10">
      <c r="B10" s="9">
        <f> RUN-RATE YEAR</f>
        <v/>
      </c>
      <c r="C10" s="83">
        <f>MonthlyProfit*12</f>
        <v/>
      </c>
    </row>
    <row r="12">
      <c r="B12" s="4" t="inlineStr">
        <is>
          <t>THE TREND</t>
        </is>
      </c>
    </row>
    <row r="13" ht="30" customHeight="1">
      <c r="B13" s="9" t="inlineStr">
        <is>
          <t>Month</t>
        </is>
      </c>
      <c r="C13" s="9" t="inlineStr">
        <is>
          <t>Revenue</t>
        </is>
      </c>
    </row>
    <row r="14">
      <c r="B14" s="21" t="inlineStr">
        <is>
          <t>Feb</t>
        </is>
      </c>
      <c r="C14" s="43" t="n">
        <v>19800</v>
      </c>
    </row>
    <row r="15">
      <c r="B15" s="24" t="inlineStr">
        <is>
          <t>Mar</t>
        </is>
      </c>
      <c r="C15" s="45" t="n">
        <v>21200</v>
      </c>
    </row>
    <row r="16">
      <c r="B16" s="21" t="inlineStr">
        <is>
          <t>Apr</t>
        </is>
      </c>
      <c r="C16" s="43" t="n">
        <v>20400</v>
      </c>
    </row>
    <row r="17">
      <c r="B17" s="24" t="inlineStr">
        <is>
          <t>May</t>
        </is>
      </c>
      <c r="C17" s="45" t="n">
        <v>22600</v>
      </c>
    </row>
    <row r="18">
      <c r="B18" s="21" t="inlineStr">
        <is>
          <t>Jun</t>
        </is>
      </c>
      <c r="C18" s="43" t="n">
        <v>23100</v>
      </c>
    </row>
    <row r="19">
      <c r="B19" s="24" t="inlineStr">
        <is>
          <t>Jul</t>
        </is>
      </c>
      <c r="C19" s="45" t="n">
        <v>23500</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36" customWidth="1" min="2" max="2"/>
    <col width="20" customWidth="1" min="3" max="3"/>
    <col width="3" customWidth="1" min="4" max="4"/>
    <col width="20" customWidth="1" min="5" max="5"/>
    <col width="20" customWidth="1" min="6" max="6"/>
    <col width="20" customWidth="1" min="7" max="7"/>
    <col width="20" customWidth="1" min="8" max="8"/>
    <col width="20" customWidth="1" min="9" max="9"/>
    <col width="20" customWidth="1" min="10" max="10"/>
  </cols>
  <sheetData>
    <row r="1" ht="46" customHeight="1">
      <c r="A1" s="1" t="inlineStr">
        <is>
          <t xml:space="preserve">  ⚙  SETTINGS</t>
        </is>
      </c>
    </row>
    <row r="2" ht="22" customHeight="1">
      <c r="A2" s="2" t="inlineStr">
        <is>
          <t xml:space="preserve">  Set your rates &amp; goals once — every tab follows.</t>
        </is>
      </c>
    </row>
    <row r="3" ht="6" customHeight="1">
      <c r="A3" s="3" t="n"/>
      <c r="B3" s="3" t="n"/>
      <c r="C3" s="3" t="n"/>
      <c r="D3" s="3" t="n"/>
      <c r="E3" s="3" t="n"/>
      <c r="F3" s="3" t="n"/>
      <c r="G3" s="3" t="n"/>
      <c r="H3" s="3" t="n"/>
      <c r="I3" s="3" t="n"/>
      <c r="J3" s="3" t="n"/>
    </row>
    <row r="5">
      <c r="B5" s="7" t="inlineStr">
        <is>
          <t>YOUR RATES &amp; GOALS</t>
        </is>
      </c>
      <c r="E5" s="4" t="inlineStr">
        <is>
          <t>DROPDOWN LISTS</t>
        </is>
      </c>
    </row>
    <row r="6">
      <c r="B6" s="27" t="inlineStr">
        <is>
          <t>Carrier</t>
        </is>
      </c>
      <c r="C6" s="84" t="inlineStr">
        <is>
          <t>Redline Freight Co.</t>
        </is>
      </c>
      <c r="E6" s="9" t="inlineStr">
        <is>
          <t>Load status</t>
        </is>
      </c>
      <c r="F6" s="9" t="inlineStr">
        <is>
          <t>Equipment type</t>
        </is>
      </c>
      <c r="G6" s="9" t="inlineStr">
        <is>
          <t>Maintenance type</t>
        </is>
      </c>
      <c r="H6" s="9" t="inlineStr">
        <is>
          <t>Yes / No</t>
        </is>
      </c>
    </row>
    <row r="7">
      <c r="B7" s="27" t="inlineStr">
        <is>
          <t>Owner-operator</t>
        </is>
      </c>
      <c r="C7" s="84" t="inlineStr">
        <is>
          <t>Wes</t>
        </is>
      </c>
      <c r="E7" s="21" t="inlineStr">
        <is>
          <t>Booked</t>
        </is>
      </c>
      <c r="F7" s="21" t="inlineStr">
        <is>
          <t>Tractor</t>
        </is>
      </c>
      <c r="G7" s="21" t="inlineStr">
        <is>
          <t>PM service</t>
        </is>
      </c>
      <c r="H7" s="21" t="inlineStr">
        <is>
          <t>Yes</t>
        </is>
      </c>
    </row>
    <row r="8">
      <c r="B8" s="27" t="inlineStr">
        <is>
          <t>Truck MPG (loaded average)</t>
        </is>
      </c>
      <c r="C8" s="85" t="n">
        <v>6.5</v>
      </c>
      <c r="E8" s="21" t="inlineStr">
        <is>
          <t>In transit</t>
        </is>
      </c>
      <c r="F8" s="21" t="inlineStr">
        <is>
          <t>Trailer</t>
        </is>
      </c>
      <c r="G8" s="21" t="inlineStr">
        <is>
          <t>Tires</t>
        </is>
      </c>
      <c r="H8" s="21" t="inlineStr">
        <is>
          <t>No</t>
        </is>
      </c>
    </row>
    <row r="9">
      <c r="B9" s="27" t="inlineStr">
        <is>
          <t>Diesel price / gallon</t>
        </is>
      </c>
      <c r="C9" s="37" t="n">
        <v>3.9</v>
      </c>
      <c r="E9" s="21" t="inlineStr">
        <is>
          <t>Delivered</t>
        </is>
      </c>
      <c r="F9" s="21" t="inlineStr">
        <is>
          <t>ELD</t>
        </is>
      </c>
      <c r="G9" s="21" t="inlineStr">
        <is>
          <t>Brakes</t>
        </is>
      </c>
    </row>
    <row r="10">
      <c r="B10" s="27" t="inlineStr">
        <is>
          <t>Profit-per-mile goal</t>
        </is>
      </c>
      <c r="C10" s="37" t="n">
        <v>0.6</v>
      </c>
      <c r="E10" s="21" t="inlineStr">
        <is>
          <t>Invoiced</t>
        </is>
      </c>
      <c r="F10" s="21" t="inlineStr">
        <is>
          <t>APU</t>
        </is>
      </c>
      <c r="G10" s="21" t="inlineStr">
        <is>
          <t>Engine</t>
        </is>
      </c>
    </row>
    <row r="11">
      <c r="B11" s="27" t="inlineStr">
        <is>
          <t>Net-margin goal</t>
        </is>
      </c>
      <c r="C11" s="86" t="n">
        <v>0.3</v>
      </c>
      <c r="E11" s="21" t="inlineStr">
        <is>
          <t>Paid</t>
        </is>
      </c>
      <c r="F11" s="21" t="inlineStr">
        <is>
          <t>Tools</t>
        </is>
      </c>
      <c r="G11" s="21" t="inlineStr">
        <is>
          <t>DOT inspection</t>
        </is>
      </c>
    </row>
    <row r="12">
      <c r="B12" s="27" t="inlineStr">
        <is>
          <t>Deadhead goal (max)</t>
        </is>
      </c>
      <c r="C12" s="86" t="n">
        <v>0.12</v>
      </c>
      <c r="F12" s="21" t="inlineStr">
        <is>
          <t>Other</t>
        </is>
      </c>
      <c r="G12" s="21" t="inlineStr">
        <is>
          <t>Repair</t>
        </is>
      </c>
    </row>
    <row r="13">
      <c r="B13" s="27" t="inlineStr">
        <is>
          <t>Rate-vs-cost cover goal (×)</t>
        </is>
      </c>
      <c r="C13" s="87" t="n">
        <v>1.4</v>
      </c>
      <c r="G13" s="21" t="inlineStr">
        <is>
          <t>Other</t>
        </is>
      </c>
    </row>
    <row r="14">
      <c r="B14" s="27" t="inlineStr">
        <is>
          <t>MPG goal</t>
        </is>
      </c>
      <c r="C14" s="85" t="n">
        <v>6.2</v>
      </c>
    </row>
    <row r="15">
      <c r="B15" s="27" t="inlineStr">
        <is>
          <t>Maintenance reserve goal</t>
        </is>
      </c>
      <c r="C15" s="43" t="n">
        <v>10000</v>
      </c>
    </row>
    <row r="16">
      <c r="B16" s="27" t="inlineStr">
        <is>
          <t>Loaded miles this month</t>
        </is>
      </c>
      <c r="C16" s="54" t="n">
        <v>10000</v>
      </c>
    </row>
    <row r="17">
      <c r="B17" s="27" t="inlineStr">
        <is>
          <t>Deadhead miles this month</t>
        </is>
      </c>
      <c r="C17" s="54" t="n">
        <v>1200</v>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2026-07-26T18:09:17Z</dcterms:created>
  <dcterms:modified xsi:type="dcterms:W3CDTF">2026-07-26T18:09:17Z</dcterms:modified>
</cp:coreProperties>
</file>