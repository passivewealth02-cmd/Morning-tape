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Dashboard" sheetId="2" state="visible" r:id="rId2"/>
    <sheet name="Student Profile" sheetId="3" state="visible" r:id="rId3"/>
    <sheet name="IEP Goals" sheetId="4" state="visible" r:id="rId4"/>
    <sheet name="Progress Monitoring" sheetId="5" state="visible" r:id="rId5"/>
    <sheet name="Services" sheetId="6" state="visible" r:id="rId6"/>
    <sheet name="Accommodations" sheetId="7" state="visible" r:id="rId7"/>
    <sheet name="Therapy Log" sheetId="8" state="visible" r:id="rId8"/>
    <sheet name="Behavior" sheetId="9" state="visible" r:id="rId9"/>
    <sheet name="Meetings" sheetId="10" state="visible" r:id="rId10"/>
    <sheet name="Communication" sheetId="11" state="visible" r:id="rId11"/>
    <sheet name="Health &amp; Meds" sheetId="12" state="visible" r:id="rId12"/>
    <sheet name="Strengths" sheetId="13" state="visible" r:id="rId13"/>
    <sheet name="Records" sheetId="14" state="visible" r:id="rId14"/>
    <sheet name="Wins" sheetId="15" state="visible" r:id="rId15"/>
    <sheet name="Settings" sheetId="16" state="visible" r:id="rId16"/>
  </sheets>
  <definedNames>
    <definedName name="ChildName">Settings!$C$6</definedName>
    <definedName name="Grade">Settings!$C$7</definedName>
    <definedName name="PlanType">Settings!$C$8</definedName>
    <definedName name="CaseManager">Settings!$C$9</definedName>
    <definedName name="NextReview">Settings!$C$10</definedName>
    <definedName name="DataTarget">Settings!$C$11</definedName>
    <definedName name="AreaList">Settings!$E$7:$E$16</definedName>
    <definedName name="YesNoList">Settings!$F$7:$F$8</definedName>
    <definedName name="SettingList">Settings!$G$7:$G$12</definedName>
    <definedName name="ServiceList">Settings!$H$7:$H$13</definedName>
    <definedName name="MeetList">Settings!$I$7:$I$12</definedName>
    <definedName name="DoneList">Settings!$J$7:$J$9</definedName>
    <definedName name="GoalArea">'IEP Goals'!$B$5:$B$9</definedName>
    <definedName name="GoalName">'IEP Goals'!$C$5:$C$9</definedName>
    <definedName name="GoalPct">'IEP Goals'!$G$5:$G$9</definedName>
    <definedName name="DataDate">'Progress Monitoring'!$A$5:$A$64</definedName>
    <definedName name="ServiceName">'Services'!$B$5:$B$8</definedName>
    <definedName name="ServiceMin">'Services'!$E$5:$E$8</definedName>
    <definedName name="ServiceDeliv">'Services'!$F$5:$F$8</definedName>
    <definedName name="ServiceMinTotal">'Services'!$E$9</definedName>
    <definedName name="ServiceDelivTotal">'Services'!$F$9</definedName>
    <definedName name="AccomActive">'Accommodations'!$C$5:$C$28</definedName>
    <definedName name="AccomName">'Accommodations'!$A$5:$A$28</definedName>
    <definedName name="TherapyDate">'Therapy Log'!$A$5:$A$44</definedName>
    <definedName name="MeetDate">'Meetings'!$A$5:$A$24</definedName>
    <definedName name="RecDone">'Records'!$B$5:$B$24</definedName>
    <definedName name="RecName">'Records'!$A$5:$A$24</definedName>
    <definedName name="WinName">'Wins'!$A$5:$A$34</definedName>
    <definedName name="HealthRange">'Dashboard'!$C$13:$C$18</definedName>
  </definedNames>
  <calcPr calcId="124519" fullCalcOnLoad="1"/>
</workbook>
</file>

<file path=xl/styles.xml><?xml version="1.0" encoding="utf-8"?>
<styleSheet xmlns="http://schemas.openxmlformats.org/spreadsheetml/2006/main">
  <numFmts count="2">
    <numFmt numFmtId="164" formatCode="yyyy-mm-dd"/>
    <numFmt numFmtId="165" formatCode="mm/dd/yyyy"/>
  </numFmts>
  <fonts count="14">
    <font>
      <name val="Calibri"/>
      <family val="2"/>
      <color theme="1"/>
      <sz val="11"/>
      <scheme val="minor"/>
    </font>
    <font>
      <name val="Calibri"/>
      <b val="1"/>
      <color rgb="00FFFFFF"/>
      <sz val="24"/>
    </font>
    <font>
      <name val="Calibri"/>
      <i val="1"/>
      <color rgb="00E5D3BA"/>
      <sz val="11"/>
    </font>
    <font>
      <name val="Calibri"/>
      <b val="1"/>
      <color rgb="001B4F48"/>
      <sz val="12"/>
    </font>
    <font>
      <name val="Calibri"/>
      <b val="1"/>
      <color rgb="00937356"/>
      <sz val="12"/>
    </font>
    <font>
      <name val="Calibri"/>
      <b val="1"/>
      <color rgb="00FFFFFF"/>
      <sz val="11"/>
    </font>
    <font>
      <name val="Calibri"/>
      <color rgb="00333333"/>
      <sz val="11"/>
    </font>
    <font>
      <name val="Calibri"/>
      <b val="1"/>
      <color rgb="001B4F48"/>
      <sz val="11"/>
    </font>
    <font>
      <name val="Calibri"/>
      <b val="1"/>
      <color rgb="00937356"/>
      <sz val="10"/>
    </font>
    <font>
      <name val="Calibri"/>
      <b val="1"/>
      <i val="1"/>
      <color rgb="00937356"/>
      <sz val="11"/>
    </font>
    <font>
      <color rgb="00333333"/>
      <sz val="11"/>
    </font>
    <font>
      <b val="1"/>
      <color rgb="001B4F48"/>
    </font>
    <font>
      <b val="1"/>
      <color rgb="00937356"/>
      <sz val="9"/>
    </font>
    <font>
      <b val="1"/>
      <color rgb="001B4F48"/>
      <sz val="18"/>
    </font>
  </fonts>
  <fills count="10">
    <fill>
      <patternFill/>
    </fill>
    <fill>
      <patternFill patternType="gray125"/>
    </fill>
    <fill>
      <patternFill patternType="solid">
        <fgColor rgb="001B4F48"/>
      </patternFill>
    </fill>
    <fill>
      <patternFill patternType="solid">
        <fgColor rgb="00E5D3BA"/>
      </patternFill>
    </fill>
    <fill>
      <patternFill patternType="solid">
        <fgColor rgb="00FAF7F1"/>
      </patternFill>
    </fill>
    <fill>
      <patternFill patternType="solid">
        <fgColor rgb="00C9A86A"/>
      </patternFill>
    </fill>
    <fill>
      <patternFill patternType="solid">
        <fgColor rgb="00E3F8EF"/>
      </patternFill>
    </fill>
    <fill>
      <patternFill patternType="solid">
        <fgColor rgb="00FBF0E2"/>
      </patternFill>
    </fill>
    <fill>
      <patternFill patternType="solid">
        <fgColor rgb="00F4ECDE"/>
      </patternFill>
    </fill>
    <fill>
      <patternFill patternType="solid">
        <fgColor rgb="00FFFFFF"/>
      </patternFill>
    </fill>
  </fills>
  <borders count="5">
    <border>
      <left/>
      <right/>
      <top/>
      <bottom/>
      <diagonal/>
    </border>
    <border/>
    <border>
      <left style="thin">
        <color rgb="00D6D2C8"/>
      </left>
      <right style="thin">
        <color rgb="00D6D2C8"/>
      </right>
      <top style="thin">
        <color rgb="00D6D2C8"/>
      </top>
      <bottom style="thin">
        <color rgb="00D6D2C8"/>
      </bottom>
    </border>
    <border>
      <left style="medium">
        <color rgb="00C9A86A"/>
      </left>
      <right style="medium">
        <color rgb="00C9A86A"/>
      </right>
      <top style="medium">
        <color rgb="00C9A86A"/>
      </top>
      <bottom style="medium">
        <color rgb="00C9A86A"/>
      </bottom>
    </border>
    <border>
      <left style="thin">
        <color rgb="00D6D2C8"/>
      </left>
      <right style="thin">
        <color rgb="00D6D2C8"/>
      </right>
      <top style="medium">
        <color rgb="00C9A86A"/>
      </top>
      <bottom style="thin">
        <color rgb="00D6D2C8"/>
      </bottom>
    </border>
  </borders>
  <cellStyleXfs count="13">
    <xf numFmtId="0" fontId="0" fillId="0" borderId="0"/>
    <xf numFmtId="0" fontId="1" fillId="2" borderId="1" applyAlignment="1">
      <alignment horizontal="left" vertical="center" indent="2"/>
    </xf>
    <xf numFmtId="0" fontId="2" fillId="2" borderId="1" applyAlignment="1">
      <alignment horizontal="left" vertical="center" indent="2"/>
    </xf>
    <xf numFmtId="0" fontId="3" fillId="0" borderId="1" applyAlignment="1">
      <alignment horizontal="left" vertical="center"/>
    </xf>
    <xf numFmtId="0" fontId="4" fillId="0" borderId="1" applyAlignment="1">
      <alignment horizontal="left" vertical="center"/>
    </xf>
    <xf numFmtId="0" fontId="5" fillId="2" borderId="2" applyAlignment="1">
      <alignment horizontal="center" vertical="center" wrapText="1"/>
    </xf>
    <xf numFmtId="0" fontId="6" fillId="0" borderId="2" applyAlignment="1">
      <alignment horizontal="center" vertical="center" wrapText="1"/>
    </xf>
    <xf numFmtId="0" fontId="6" fillId="0" borderId="2" applyAlignment="1">
      <alignment horizontal="left" vertical="center" wrapText="1" indent="1"/>
    </xf>
    <xf numFmtId="0" fontId="7" fillId="3" borderId="2" applyAlignment="1">
      <alignment horizontal="center" vertical="center"/>
    </xf>
    <xf numFmtId="0" fontId="8" fillId="4" borderId="2" applyAlignment="1">
      <alignment horizontal="left" vertical="center" indent="1"/>
    </xf>
    <xf numFmtId="0" fontId="7" fillId="0" borderId="2" applyAlignment="1">
      <alignment horizontal="left" vertical="center" indent="1"/>
    </xf>
    <xf numFmtId="0" fontId="9" fillId="4" borderId="3" applyAlignment="1">
      <alignment horizontal="center" vertical="center" wrapText="1"/>
    </xf>
    <xf numFmtId="0" fontId="6" fillId="0" borderId="1" applyAlignment="1">
      <alignment horizontal="left" vertical="top" wrapText="1" indent="1"/>
    </xf>
  </cellStyleXfs>
  <cellXfs count="41">
    <xf numFmtId="0" fontId="0" fillId="0" borderId="0" pivotButton="0" quotePrefix="0" xfId="0"/>
    <xf numFmtId="0" fontId="1" fillId="2" borderId="1" applyAlignment="1" pivotButton="0" quotePrefix="0" xfId="1">
      <alignment horizontal="left" vertical="center" indent="2"/>
    </xf>
    <xf numFmtId="0" fontId="2" fillId="2" borderId="1" applyAlignment="1" pivotButton="0" quotePrefix="0" xfId="2">
      <alignment horizontal="left" vertical="center" indent="2"/>
    </xf>
    <xf numFmtId="0" fontId="0" fillId="5" borderId="0" pivotButton="0" quotePrefix="0" xfId="0"/>
    <xf numFmtId="0" fontId="4" fillId="0" borderId="1" applyAlignment="1" pivotButton="0" quotePrefix="0" xfId="4">
      <alignment horizontal="left" vertical="center"/>
    </xf>
    <xf numFmtId="0" fontId="6" fillId="6" borderId="2" applyAlignment="1" pivotButton="0" quotePrefix="0" xfId="12">
      <alignment horizontal="left" vertical="top" wrapText="1" indent="1"/>
    </xf>
    <xf numFmtId="0" fontId="0" fillId="6" borderId="0" pivotButton="0" quotePrefix="0" xfId="0"/>
    <xf numFmtId="0" fontId="3" fillId="0" borderId="1" applyAlignment="1" pivotButton="0" quotePrefix="0" xfId="3">
      <alignment horizontal="left" vertical="center"/>
    </xf>
    <xf numFmtId="0" fontId="6" fillId="0" borderId="1" applyAlignment="1" pivotButton="0" quotePrefix="0" xfId="12">
      <alignment horizontal="left" vertical="top" wrapText="1" indent="1"/>
    </xf>
    <xf numFmtId="0" fontId="5" fillId="2" borderId="2" applyAlignment="1" pivotButton="0" quotePrefix="0" xfId="5">
      <alignment horizontal="center" vertical="center" wrapText="1"/>
    </xf>
    <xf numFmtId="0" fontId="10" fillId="7" borderId="2" applyAlignment="1" pivotButton="0" quotePrefix="0" xfId="0">
      <alignment horizontal="left" vertical="top" wrapText="1" indent="1"/>
    </xf>
    <xf numFmtId="0" fontId="0" fillId="7" borderId="0" pivotButton="0" quotePrefix="0" xfId="0"/>
    <xf numFmtId="0" fontId="12" fillId="9" borderId="4" applyAlignment="1" pivotButton="0" quotePrefix="0" xfId="0">
      <alignment horizontal="center" vertical="center"/>
    </xf>
    <xf numFmtId="0" fontId="0" fillId="9" borderId="4" pivotButton="0" quotePrefix="0" xfId="0"/>
    <xf numFmtId="3" fontId="13" fillId="9" borderId="2" applyAlignment="1" pivotButton="0" quotePrefix="0" xfId="0">
      <alignment horizontal="center" vertical="center"/>
    </xf>
    <xf numFmtId="0" fontId="0" fillId="9" borderId="2" pivotButton="0" quotePrefix="0" xfId="0"/>
    <xf numFmtId="9" fontId="13" fillId="9" borderId="2" applyAlignment="1" pivotButton="0" quotePrefix="0" xfId="0">
      <alignment horizontal="center" vertical="center"/>
    </xf>
    <xf numFmtId="0" fontId="6" fillId="0" borderId="2" applyAlignment="1" pivotButton="0" quotePrefix="0" xfId="7">
      <alignment horizontal="left" vertical="center" wrapText="1" indent="1"/>
    </xf>
    <xf numFmtId="9" fontId="6" fillId="0" borderId="2" applyAlignment="1" pivotButton="0" quotePrefix="0" xfId="6">
      <alignment horizontal="center" vertical="center" wrapText="1"/>
    </xf>
    <xf numFmtId="0" fontId="6" fillId="0" borderId="2" applyAlignment="1" pivotButton="0" quotePrefix="0" xfId="6">
      <alignment horizontal="center" vertical="center" wrapText="1"/>
    </xf>
    <xf numFmtId="0" fontId="6" fillId="8" borderId="2" applyAlignment="1" pivotButton="0" quotePrefix="0" xfId="7">
      <alignment horizontal="left" vertical="center" wrapText="1" indent="1"/>
    </xf>
    <xf numFmtId="9" fontId="6" fillId="8" borderId="2" applyAlignment="1" pivotButton="0" quotePrefix="0" xfId="6">
      <alignment horizontal="center" vertical="center" wrapText="1"/>
    </xf>
    <xf numFmtId="0" fontId="6" fillId="8" borderId="2" applyAlignment="1" pivotButton="0" quotePrefix="0" xfId="6">
      <alignment horizontal="center" vertical="center" wrapText="1"/>
    </xf>
    <xf numFmtId="0" fontId="8" fillId="4" borderId="2" applyAlignment="1" pivotButton="0" quotePrefix="0" xfId="9">
      <alignment horizontal="left" vertical="center" indent="1"/>
    </xf>
    <xf numFmtId="0" fontId="7" fillId="0" borderId="2" applyAlignment="1" pivotButton="0" quotePrefix="0" xfId="10">
      <alignment horizontal="left" vertical="center" indent="1"/>
    </xf>
    <xf numFmtId="1" fontId="7" fillId="3" borderId="2" applyAlignment="1" pivotButton="0" quotePrefix="0" xfId="8">
      <alignment horizontal="center" vertical="center"/>
    </xf>
    <xf numFmtId="1" fontId="7" fillId="8" borderId="2" applyAlignment="1" pivotButton="0" quotePrefix="0" xfId="8">
      <alignment horizontal="center" vertical="center"/>
    </xf>
    <xf numFmtId="165" fontId="6" fillId="9" borderId="2" applyAlignment="1" pivotButton="0" quotePrefix="0" xfId="6">
      <alignment horizontal="center" vertical="center" wrapText="1"/>
    </xf>
    <xf numFmtId="0" fontId="6" fillId="9" borderId="2" applyAlignment="1" pivotButton="0" quotePrefix="0" xfId="6">
      <alignment horizontal="center" vertical="center" wrapText="1"/>
    </xf>
    <xf numFmtId="0" fontId="6" fillId="9" borderId="2" applyAlignment="1" pivotButton="0" quotePrefix="0" xfId="7">
      <alignment horizontal="left" vertical="center" wrapText="1" indent="1"/>
    </xf>
    <xf numFmtId="3" fontId="6" fillId="9" borderId="2" applyAlignment="1" pivotButton="0" quotePrefix="0" xfId="6">
      <alignment horizontal="center" vertical="center" wrapText="1"/>
    </xf>
    <xf numFmtId="165" fontId="6" fillId="8" borderId="2" applyAlignment="1" pivotButton="0" quotePrefix="0" xfId="6">
      <alignment horizontal="center" vertical="center" wrapText="1"/>
    </xf>
    <xf numFmtId="3" fontId="6" fillId="8" borderId="2" applyAlignment="1" pivotButton="0" quotePrefix="0" xfId="6">
      <alignment horizontal="center" vertical="center" wrapText="1"/>
    </xf>
    <xf numFmtId="3" fontId="7" fillId="3" borderId="2" applyAlignment="1" pivotButton="0" quotePrefix="0" xfId="8">
      <alignment horizontal="center" vertical="center"/>
    </xf>
    <xf numFmtId="3" fontId="7" fillId="8" borderId="2" applyAlignment="1" pivotButton="0" quotePrefix="0" xfId="8">
      <alignment horizontal="center" vertical="center"/>
    </xf>
    <xf numFmtId="0" fontId="6" fillId="3" borderId="2" applyAlignment="1" pivotButton="0" quotePrefix="0" xfId="6">
      <alignment horizontal="center" vertical="center" wrapText="1"/>
    </xf>
    <xf numFmtId="3" fontId="11" fillId="3" borderId="2" applyAlignment="1" pivotButton="0" quotePrefix="0" xfId="6">
      <alignment horizontal="center" vertical="center" wrapText="1"/>
    </xf>
    <xf numFmtId="0" fontId="6" fillId="6" borderId="2" applyAlignment="1" pivotButton="0" quotePrefix="0" xfId="7">
      <alignment horizontal="left" vertical="center" wrapText="1" indent="1"/>
    </xf>
    <xf numFmtId="0" fontId="6" fillId="4" borderId="2" applyAlignment="1" pivotButton="0" quotePrefix="0" xfId="7">
      <alignment horizontal="left" vertical="center" wrapText="1" indent="1"/>
    </xf>
    <xf numFmtId="0" fontId="7" fillId="3" borderId="2" applyAlignment="1" pivotButton="0" quotePrefix="0" xfId="8">
      <alignment horizontal="center" vertical="center"/>
    </xf>
    <xf numFmtId="165" fontId="7" fillId="3" borderId="2" applyAlignment="1" pivotButton="0" quotePrefix="0" xfId="8">
      <alignment horizontal="center" vertical="center"/>
    </xf>
  </cellXfs>
  <cellStyles count="13">
    <cellStyle name="Normal" xfId="0" builtinId="0" hidden="0"/>
    <cellStyle name="title" xfId="1" hidden="0"/>
    <cellStyle name="subtitle" xfId="2" hidden="0"/>
    <cellStyle name="section" xfId="3" hidden="0"/>
    <cellStyle name="section_gold" xfId="4" hidden="0"/>
    <cellStyle name="th" xfId="5" hidden="0"/>
    <cellStyle name="td" xfId="6" hidden="0"/>
    <cellStyle name="td_left" xfId="7" hidden="0"/>
    <cellStyle name="input" xfId="8" hidden="0"/>
    <cellStyle name="field_label" xfId="9" hidden="0"/>
    <cellStyle name="field_value" xfId="10" hidden="0"/>
    <cellStyle name="imgbox" xfId="11" hidden="0"/>
    <cellStyle name="body" xfId="12" hidden="0"/>
  </cellStyles>
  <dxfs count="3">
    <dxf>
      <fill>
        <patternFill patternType="solid">
          <fgColor rgb="00E3F8EF"/>
        </patternFill>
      </fill>
    </dxf>
    <dxf>
      <fill>
        <patternFill patternType="solid">
          <fgColor rgb="00FBF0E2"/>
        </patternFill>
      </fill>
    </dxf>
    <dxf>
      <fill>
        <patternFill patternType="solid">
          <fgColor rgb="00FB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charts/chart1.xml><?xml version="1.0" encoding="utf-8"?>
<chartSpace xmlns:a="http://schemas.openxmlformats.org/drawingml/2006/main" xmlns="http://schemas.openxmlformats.org/drawingml/2006/chart">
  <chart>
    <title>
      <tx>
        <rich>
          <a:bodyPr/>
          <a:p>
            <a:pPr>
              <a:defRPr/>
            </a:pPr>
            <a:r>
              <a:t>Progress Toward Each Goal</a:t>
            </a:r>
          </a:p>
        </rich>
      </tx>
    </title>
    <plotArea>
      <barChart>
        <barDir val="bar"/>
        <grouping val="clustered"/>
        <ser>
          <idx val="0"/>
          <order val="0"/>
          <spPr>
            <a:ln>
              <a:prstDash val="solid"/>
            </a:ln>
          </spPr>
          <cat>
            <numRef>
              <f>'IEP Goals'!$B$5:$B$9</f>
            </numRef>
          </cat>
          <val>
            <numRef>
              <f>'IEP Goals'!$G$5:$G$9</f>
            </numRef>
          </val>
        </ser>
        <dLbls>
          <showVal val="1"/>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12</row>
      <rowOff>0</rowOff>
    </from>
    <ext cx="3096000" cy="2664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C25"/>
  <sheetViews>
    <sheetView showGridLines="0" workbookViewId="0">
      <selection activeCell="A1" sqref="A1"/>
    </sheetView>
  </sheetViews>
  <sheetFormatPr baseColWidth="8" defaultRowHeight="15"/>
  <cols>
    <col width="3" customWidth="1" min="1" max="1"/>
    <col width="84" customWidth="1" min="2" max="2"/>
    <col width="3" customWidth="1" min="3" max="3"/>
  </cols>
  <sheetData>
    <row r="1" ht="58" customHeight="1">
      <c r="A1" s="1" t="inlineStr">
        <is>
          <t xml:space="preserve">  💛  IEP &amp; SPECIAL-NEEDS COMMAND CENTER™</t>
        </is>
      </c>
    </row>
    <row r="2" ht="24" customHeight="1">
      <c r="A2" s="2" t="inlineStr">
        <is>
          <t xml:space="preserve">  One calm place for goals, services, data &amp; meetings — walk in prepared, advocate with confidence.</t>
        </is>
      </c>
    </row>
    <row r="3" ht="6" customHeight="1">
      <c r="A3" s="3" t="n"/>
      <c r="B3" s="3" t="n"/>
      <c r="C3" s="3" t="n"/>
    </row>
    <row r="5">
      <c r="B5" s="4" t="inlineStr">
        <is>
          <t>YOUR CHILD'S WHOLE PLAN, IN ONE PLACE</t>
        </is>
      </c>
    </row>
    <row r="6" ht="22" customHeight="1">
      <c r="B6" s="5" t="inlineStr">
        <is>
          <t>IEP/504 goals with real progress monitoring, services &amp; minutes, accommodations, a therapy log, a gentle behavior tracker, meeting &amp; communication logs, health/medication notes, a strengths profile, a records checklist and a wins log — all in ONE calm Google Sheets &amp; Excel system. See exactly how each goal is trending, keep every note and date in one binder, and walk into the next meeting organized and confident. Built by-a-parent, for parents — your child is so much more than a plan.</t>
        </is>
      </c>
    </row>
    <row r="7" ht="22" customHeight="1">
      <c r="B7" s="6" t="n"/>
    </row>
    <row r="8" ht="22" customHeight="1">
      <c r="B8" s="6" t="n"/>
    </row>
    <row r="9" ht="22" customHeight="1">
      <c r="B9" s="6" t="n"/>
    </row>
    <row r="11">
      <c r="B11" s="7" t="inlineStr">
        <is>
          <t>START HERE — 6 QUICK STEPS</t>
        </is>
      </c>
    </row>
    <row r="12" ht="22" customHeight="1">
      <c r="B12" s="8" t="inlineStr">
        <is>
          <t>1.  Open Settings — add your child, plan type, case manager &amp; next review date.</t>
        </is>
      </c>
    </row>
    <row r="13" ht="22" customHeight="1">
      <c r="B13" s="8" t="inlineStr">
        <is>
          <t>2.  Enter each IEP Goal with its baseline, target &amp; current level — progress calculates itself.</t>
        </is>
      </c>
    </row>
    <row r="14" ht="22" customHeight="1">
      <c r="B14" s="8" t="inlineStr">
        <is>
          <t>3.  List Services &amp; minutes, and check off the Accommodations in place.</t>
        </is>
      </c>
    </row>
    <row r="15" ht="22" customHeight="1">
      <c r="B15" s="8" t="inlineStr">
        <is>
          <t>4.  Log therapy sessions, data points, behavior notes &amp; every communication as they happen.</t>
        </is>
      </c>
    </row>
    <row r="16" ht="22" customHeight="1">
      <c r="B16" s="8" t="inlineStr">
        <is>
          <t>5.  Keep the Records checklist current so the binder is always meeting-ready.</t>
        </is>
      </c>
    </row>
    <row r="17" ht="22" customHeight="1">
      <c r="B17" s="8" t="inlineStr">
        <is>
          <t>6.  Watch the Dashboard track goal progress, services &amp; a Progress Score — and celebrate the Wins.</t>
        </is>
      </c>
    </row>
    <row r="20" ht="26" customHeight="1">
      <c r="B20" s="9" t="inlineStr">
        <is>
          <t xml:space="preserve">  PLEASE READ</t>
        </is>
      </c>
    </row>
    <row r="21" ht="22" customHeight="1">
      <c r="B21" s="10" t="inlineStr">
        <is>
          <t>Sample data for a fictional child (Sam) is included so you can see how it all connects — just type over it with your own. This is a personal organizing &amp; advocacy tool to help you track your child's plan and prepare for meetings. It is NOT medical, legal, psychological or educational advice, and it does not create or replace an IEP/504 — always work with your child's IEP team and qualified professionals, and follow your district's process. Keep this file private; it may contain sensitive information.</t>
        </is>
      </c>
    </row>
    <row r="22" ht="22" customHeight="1">
      <c r="B22" s="11" t="n"/>
    </row>
    <row r="23" ht="22" customHeight="1">
      <c r="B23" s="11" t="n"/>
    </row>
    <row r="25">
      <c r="B25" s="4" t="inlineStr">
        <is>
          <t>You know your child best. Walk in prepared — you've got this.</t>
        </is>
      </c>
    </row>
  </sheetData>
  <mergeCells count="14">
    <mergeCell ref="B17"/>
    <mergeCell ref="B12"/>
    <mergeCell ref="B13"/>
    <mergeCell ref="A1:C1"/>
    <mergeCell ref="B15"/>
    <mergeCell ref="B11"/>
    <mergeCell ref="B21:B23"/>
    <mergeCell ref="B6:B9"/>
    <mergeCell ref="B16"/>
    <mergeCell ref="B20"/>
    <mergeCell ref="B25"/>
    <mergeCell ref="B5"/>
    <mergeCell ref="B14"/>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1"/>
  <sheetViews>
    <sheetView showGridLines="0" workbookViewId="0">
      <selection activeCell="A1" sqref="A1"/>
    </sheetView>
  </sheetViews>
  <sheetFormatPr baseColWidth="8" defaultRowHeight="15"/>
  <cols>
    <col width="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2" customWidth="1" min="14" max="14"/>
  </cols>
  <sheetData>
    <row r="1" ht="56" customHeight="1">
      <c r="A1" s="1" t="inlineStr">
        <is>
          <t xml:space="preserve">  💛  IEP &amp; SPECIAL-NEEDS COMMAND CENTER™</t>
        </is>
      </c>
    </row>
    <row r="2" ht="24" customHeight="1">
      <c r="A2" s="2" t="inlineStr">
        <is>
          <t xml:space="preserve">  Goals, services, data &amp; meetings — your child's whole plan, organized and meeting-ready.</t>
        </is>
      </c>
    </row>
    <row r="3" ht="6" customHeight="1">
      <c r="A3" s="3" t="n"/>
      <c r="B3" s="3" t="n"/>
      <c r="C3" s="3" t="n"/>
      <c r="D3" s="3" t="n"/>
      <c r="E3" s="3" t="n"/>
      <c r="F3" s="3" t="n"/>
      <c r="G3" s="3" t="n"/>
      <c r="H3" s="3" t="n"/>
      <c r="I3" s="3" t="n"/>
      <c r="J3" s="3" t="n"/>
      <c r="K3" s="3" t="n"/>
      <c r="L3" s="3" t="n"/>
      <c r="M3" s="3" t="n"/>
      <c r="N3" s="3" t="n"/>
    </row>
    <row r="5" ht="18" customHeight="1">
      <c r="B5" s="12" t="inlineStr">
        <is>
          <t>IEP GOALS</t>
        </is>
      </c>
      <c r="C5" s="13" t="n"/>
      <c r="D5" s="12" t="inlineStr">
        <is>
          <t>AVG PROGRESS</t>
        </is>
      </c>
      <c r="E5" s="13" t="n"/>
      <c r="F5" s="12" t="inlineStr">
        <is>
          <t>GOALS ON PACE</t>
        </is>
      </c>
      <c r="G5" s="13" t="n"/>
      <c r="H5" s="12" t="inlineStr">
        <is>
          <t>SERVICES</t>
        </is>
      </c>
      <c r="I5" s="13" t="n"/>
      <c r="J5" s="12" t="inlineStr">
        <is>
          <t>SERVICE MIN/WK</t>
        </is>
      </c>
      <c r="K5" s="13" t="n"/>
      <c r="L5" s="12" t="inlineStr">
        <is>
          <t>ACCOMMODATIONS</t>
        </is>
      </c>
      <c r="M5" s="13" t="n"/>
    </row>
    <row r="6" ht="40" customHeight="1">
      <c r="B6" s="14">
        <f>COUNTA(GoalName)</f>
        <v/>
      </c>
      <c r="C6" s="15" t="n"/>
      <c r="D6" s="16">
        <f>IFERROR(AVERAGE(GoalPct),0)</f>
        <v/>
      </c>
      <c r="E6" s="15" t="n"/>
      <c r="F6" s="14">
        <f>COUNTIF(GoalPct,"&gt;=0.6")</f>
        <v/>
      </c>
      <c r="G6" s="15" t="n"/>
      <c r="H6" s="14">
        <f>COUNTA(ServiceName)</f>
        <v/>
      </c>
      <c r="I6" s="15" t="n"/>
      <c r="J6" s="14">
        <f>ServiceMinTotal</f>
        <v/>
      </c>
      <c r="K6" s="15" t="n"/>
      <c r="L6" s="14">
        <f>COUNTIF(AccomActive,"Yes")</f>
        <v/>
      </c>
      <c r="M6" s="15" t="n"/>
    </row>
    <row r="8" ht="18" customHeight="1">
      <c r="B8" s="12" t="inlineStr">
        <is>
          <t>THERAPY LOGGED</t>
        </is>
      </c>
      <c r="C8" s="13" t="n"/>
      <c r="D8" s="12" t="inlineStr">
        <is>
          <t>DATA POINTS</t>
        </is>
      </c>
      <c r="E8" s="13" t="n"/>
      <c r="F8" s="12" t="inlineStr">
        <is>
          <t>MEETINGS</t>
        </is>
      </c>
      <c r="G8" s="13" t="n"/>
      <c r="H8" s="12" t="inlineStr">
        <is>
          <t>WINS</t>
        </is>
      </c>
      <c r="I8" s="13" t="n"/>
      <c r="J8" s="12" t="inlineStr">
        <is>
          <t>SUPPORTS IN PLACE</t>
        </is>
      </c>
      <c r="K8" s="13" t="n"/>
      <c r="L8" s="12" t="inlineStr">
        <is>
          <t>PROGRESS SCORE</t>
        </is>
      </c>
      <c r="M8" s="13" t="n"/>
    </row>
    <row r="9" ht="40" customHeight="1">
      <c r="B9" s="14">
        <f>COUNTA(TherapyDate)</f>
        <v/>
      </c>
      <c r="C9" s="15" t="n"/>
      <c r="D9" s="14">
        <f>COUNTA(DataDate)</f>
        <v/>
      </c>
      <c r="E9" s="15" t="n"/>
      <c r="F9" s="14">
        <f>COUNTA(MeetDate)</f>
        <v/>
      </c>
      <c r="G9" s="15" t="n"/>
      <c r="H9" s="14">
        <f>COUNTA(WinName)</f>
        <v/>
      </c>
      <c r="I9" s="15" t="n"/>
      <c r="J9" s="16">
        <f>IFERROR(COUNTIF(AccomActive,"Yes")/COUNTA(AccomActive),0)</f>
        <v/>
      </c>
      <c r="K9" s="15" t="n"/>
      <c r="L9" s="16">
        <f>IFERROR(AVERAGE(HealthRange),0)</f>
        <v/>
      </c>
      <c r="M9" s="15" t="n"/>
    </row>
    <row r="11" ht="26" customHeight="1">
      <c r="B11" s="4" t="inlineStr">
        <is>
          <t>HOW WE'RE DOING</t>
        </is>
      </c>
      <c r="H11" s="4" t="inlineStr">
        <is>
          <t>PROGRESS TOWARD EACH GOAL</t>
        </is>
      </c>
    </row>
    <row r="12" ht="30" customHeight="1">
      <c r="B12" s="9" t="inlineStr">
        <is>
          <t>Area</t>
        </is>
      </c>
      <c r="C12" s="9" t="inlineStr">
        <is>
          <t>Progress</t>
        </is>
      </c>
      <c r="D12" s="9" t="inlineStr">
        <is>
          <t>Status</t>
        </is>
      </c>
    </row>
    <row r="13">
      <c r="B13" s="17" t="inlineStr">
        <is>
          <t>Goal progress</t>
        </is>
      </c>
      <c r="C13" s="18">
        <f>IFERROR(AVERAGE(GoalPct),0)</f>
        <v/>
      </c>
      <c r="D13" s="19">
        <f>IF(C13&gt;=0.85,"Strong",IF(C13&gt;=0.6,"On track","Watch"))</f>
        <v/>
      </c>
    </row>
    <row r="14">
      <c r="B14" s="20" t="inlineStr">
        <is>
          <t>Goals on pace</t>
        </is>
      </c>
      <c r="C14" s="21">
        <f>IFERROR(COUNTIF(GoalPct,"&gt;=0.6")/COUNTA(GoalPct),0)</f>
        <v/>
      </c>
      <c r="D14" s="22">
        <f>IF(C14&gt;=0.85,"Strong",IF(C14&gt;=0.6,"On track","Watch"))</f>
        <v/>
      </c>
    </row>
    <row r="15">
      <c r="B15" s="17" t="inlineStr">
        <is>
          <t>Accommodations in place</t>
        </is>
      </c>
      <c r="C15" s="18">
        <f>IFERROR(COUNTIF(AccomActive,"Yes")/COUNTA(AccomActive),0)</f>
        <v/>
      </c>
      <c r="D15" s="19">
        <f>IF(C15&gt;=0.85,"Strong",IF(C15&gt;=0.6,"On track","Watch"))</f>
        <v/>
      </c>
    </row>
    <row r="16">
      <c r="B16" s="20" t="inlineStr">
        <is>
          <t>Services delivered</t>
        </is>
      </c>
      <c r="C16" s="21">
        <f>IFERROR(ServiceDelivTotal/ServiceMinTotal,0)</f>
        <v/>
      </c>
      <c r="D16" s="22">
        <f>IF(C16&gt;=0.85,"Strong",IF(C16&gt;=0.6,"On track","Watch"))</f>
        <v/>
      </c>
    </row>
    <row r="17">
      <c r="B17" s="17" t="inlineStr">
        <is>
          <t>Data collection</t>
        </is>
      </c>
      <c r="C17" s="18">
        <f>IFERROR(MIN(COUNTA(DataDate)/DataTarget,1),0)</f>
        <v/>
      </c>
      <c r="D17" s="19">
        <f>IF(C17&gt;=0.85,"Strong",IF(C17&gt;=0.6,"On track","Watch"))</f>
        <v/>
      </c>
    </row>
    <row r="18">
      <c r="B18" s="20" t="inlineStr">
        <is>
          <t>Records ready</t>
        </is>
      </c>
      <c r="C18" s="21">
        <f>IFERROR(COUNTIF(RecDone,"Yes")/COUNTA(RecName),0)</f>
        <v/>
      </c>
      <c r="D18" s="22">
        <f>IF(C18&gt;=0.85,"Strong",IF(C18&gt;=0.6,"On track","Watch"))</f>
        <v/>
      </c>
    </row>
    <row r="21" ht="26" customHeight="1">
      <c r="B21" s="2" t="inlineStr">
        <is>
          <t>IEP &amp; Special-Needs Command Center™ — walk in prepared, advocate with confidence. Not medical or legal advice.</t>
        </is>
      </c>
    </row>
  </sheetData>
  <mergeCells count="29">
    <mergeCell ref="J5:K5"/>
    <mergeCell ref="F6:G6"/>
    <mergeCell ref="H11:M11"/>
    <mergeCell ref="H9:I9"/>
    <mergeCell ref="A1:N1"/>
    <mergeCell ref="J9:K9"/>
    <mergeCell ref="D6:E6"/>
    <mergeCell ref="H6:I6"/>
    <mergeCell ref="J6:K6"/>
    <mergeCell ref="B21:M21"/>
    <mergeCell ref="F5:G5"/>
    <mergeCell ref="L5:M5"/>
    <mergeCell ref="L8:M8"/>
    <mergeCell ref="B8:C8"/>
    <mergeCell ref="F8:G8"/>
    <mergeCell ref="A2:N2"/>
    <mergeCell ref="B9:C9"/>
    <mergeCell ref="D9:E9"/>
    <mergeCell ref="F9:G9"/>
    <mergeCell ref="L9:M9"/>
    <mergeCell ref="D8:E8"/>
    <mergeCell ref="B6:C6"/>
    <mergeCell ref="L6:M6"/>
    <mergeCell ref="B5:C5"/>
    <mergeCell ref="D5:E5"/>
    <mergeCell ref="H5:I5"/>
    <mergeCell ref="H8:I8"/>
    <mergeCell ref="J8:K8"/>
    <mergeCell ref="B11:G11"/>
  </mergeCells>
  <conditionalFormatting sqref="C13:C18">
    <cfRule type="colorScale" priority="1">
      <colorScale>
        <cfvo type="num" val="0"/>
        <cfvo type="num" val="0.5"/>
        <cfvo type="num" val="1"/>
        <color rgb="FFFBF0E2"/>
        <color rgb="FFFFF3CD"/>
        <color rgb="FF75E6C1"/>
      </colorScale>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F11"/>
  <sheetViews>
    <sheetView showGridLines="0" workbookViewId="0">
      <selection activeCell="A1" sqref="A1"/>
    </sheetView>
  </sheetViews>
  <sheetFormatPr baseColWidth="8" defaultRowHeight="15"/>
  <cols>
    <col width="2" customWidth="1" min="1" max="1"/>
    <col width="24" customWidth="1" min="2" max="2"/>
    <col width="24" customWidth="1" min="3" max="3"/>
    <col width="4" customWidth="1" min="4" max="4"/>
    <col width="22" customWidth="1" min="5" max="5"/>
    <col width="22" customWidth="1" min="6" max="6"/>
    <col width="2" customWidth="1" min="7" max="7"/>
  </cols>
  <sheetData>
    <row r="1" ht="46" customHeight="1">
      <c r="A1" s="1" t="inlineStr">
        <is>
          <t xml:space="preserve">  🧒  STUDENT PROFILE &amp; TEAM</t>
        </is>
      </c>
    </row>
    <row r="2" ht="22" customHeight="1">
      <c r="A2" s="2" t="inlineStr">
        <is>
          <t xml:space="preserve">  The whole child &amp; the whole team — the one-page snapshot you bring to every meeting.</t>
        </is>
      </c>
    </row>
    <row r="3" ht="6" customHeight="1">
      <c r="A3" s="3" t="n"/>
      <c r="B3" s="3" t="n"/>
      <c r="C3" s="3" t="n"/>
      <c r="D3" s="3" t="n"/>
      <c r="E3" s="3" t="n"/>
      <c r="F3" s="3" t="n"/>
    </row>
    <row r="5" ht="22" customHeight="1">
      <c r="B5" s="4" t="inlineStr">
        <is>
          <t>Sam Bennett</t>
        </is>
      </c>
    </row>
    <row r="6" ht="24" customHeight="1">
      <c r="B6" s="23" t="inlineStr">
        <is>
          <t>Grade / School</t>
        </is>
      </c>
      <c r="C6" s="24" t="inlineStr">
        <is>
          <t>3 · Springfield Elem.</t>
        </is>
      </c>
      <c r="E6" s="23" t="inlineStr">
        <is>
          <t>Date of Birth</t>
        </is>
      </c>
      <c r="F6" s="24" t="inlineStr">
        <is>
          <t>—</t>
        </is>
      </c>
    </row>
    <row r="7" ht="24" customHeight="1">
      <c r="B7" s="23" t="inlineStr">
        <is>
          <t>Plan Type</t>
        </is>
      </c>
      <c r="C7" s="24" t="inlineStr">
        <is>
          <t>IEP — SLD + Speech</t>
        </is>
      </c>
      <c r="E7" s="23" t="inlineStr">
        <is>
          <t>Eligibility Category</t>
        </is>
      </c>
      <c r="F7" s="24" t="inlineStr">
        <is>
          <t>Specific Learning Disability</t>
        </is>
      </c>
    </row>
    <row r="8" ht="24" customHeight="1">
      <c r="B8" s="23" t="inlineStr">
        <is>
          <t>Case Manager</t>
        </is>
      </c>
      <c r="C8" s="24" t="inlineStr">
        <is>
          <t>Ms. Rivera</t>
        </is>
      </c>
      <c r="E8" s="23" t="inlineStr">
        <is>
          <t>Next Annual Review</t>
        </is>
      </c>
      <c r="F8" s="24" t="inlineStr">
        <is>
          <t>See Settings</t>
        </is>
      </c>
    </row>
    <row r="9" ht="24" customHeight="1">
      <c r="B9" s="23" t="inlineStr">
        <is>
          <t>Diagnoses (if shared)</t>
        </is>
      </c>
      <c r="C9" s="24" t="inlineStr">
        <is>
          <t>—</t>
        </is>
      </c>
      <c r="E9" s="23" t="inlineStr">
        <is>
          <t>Strengths</t>
        </is>
      </c>
      <c r="F9" s="24" t="inlineStr">
        <is>
          <t>Kind, curious, great memory</t>
        </is>
      </c>
    </row>
    <row r="10" ht="24" customHeight="1">
      <c r="B10" s="23" t="inlineStr">
        <is>
          <t>What helps</t>
        </is>
      </c>
      <c r="C10" s="24" t="inlineStr">
        <is>
          <t>Breaks, visuals, praise</t>
        </is>
      </c>
      <c r="E10" s="23" t="inlineStr">
        <is>
          <t>What's hard</t>
        </is>
      </c>
      <c r="F10" s="24" t="inlineStr">
        <is>
          <t>Long reading, timed work</t>
        </is>
      </c>
    </row>
    <row r="11" ht="24" customHeight="1">
      <c r="B11" s="23" t="inlineStr">
        <is>
          <t>Parent contacts</t>
        </is>
      </c>
      <c r="C11" s="24" t="inlineStr">
        <is>
          <t>—</t>
        </is>
      </c>
      <c r="E11" s="23" t="inlineStr">
        <is>
          <t>Notes</t>
        </is>
      </c>
      <c r="F11" s="24" t="inlineStr">
        <is>
          <t>Loves dinosaurs &amp; Legos</t>
        </is>
      </c>
    </row>
  </sheetData>
  <mergeCells count="3">
    <mergeCell ref="A2:F2"/>
    <mergeCell ref="A1:F1"/>
    <mergeCell ref="B5:F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showGridLines="0" workbookViewId="0">
      <pane ySplit="4" topLeftCell="A5" activePane="bottomLeft" state="frozen"/>
      <selection pane="bottomLeft" activeCell="A1" sqref="A1"/>
    </sheetView>
  </sheetViews>
  <sheetFormatPr baseColWidth="8" defaultRowHeight="15"/>
  <cols>
    <col width="2" customWidth="1" min="1" max="1"/>
    <col width="18" customWidth="1" min="2" max="2"/>
    <col width="34" customWidth="1" min="3" max="3"/>
    <col width="12" customWidth="1" min="4" max="4"/>
    <col width="12" customWidth="1" min="5" max="5"/>
    <col width="12" customWidth="1" min="6" max="6"/>
    <col width="12" customWidth="1" min="7" max="7"/>
    <col width="2" customWidth="1" min="8" max="8"/>
  </cols>
  <sheetData>
    <row r="1" ht="46" customHeight="1">
      <c r="A1" s="1" t="inlineStr">
        <is>
          <t xml:space="preserve">  🎯  IEP GOALS &amp; PROGRESS</t>
        </is>
      </c>
    </row>
    <row r="2" ht="22" customHeight="1">
      <c r="A2" s="2" t="inlineStr">
        <is>
          <t xml:space="preserve">  Every goal with its baseline, target &amp; current level — progress toward each goal calculates itself.</t>
        </is>
      </c>
    </row>
    <row r="3" ht="6" customHeight="1">
      <c r="A3" s="3" t="n"/>
      <c r="B3" s="3" t="n"/>
      <c r="C3" s="3" t="n"/>
      <c r="D3" s="3" t="n"/>
      <c r="E3" s="3" t="n"/>
      <c r="F3" s="3" t="n"/>
      <c r="G3" s="3" t="n"/>
    </row>
    <row r="4" ht="30" customHeight="1">
      <c r="B4" s="9" t="inlineStr">
        <is>
          <t>Area</t>
        </is>
      </c>
      <c r="C4" s="9" t="inlineStr">
        <is>
          <t>Goal</t>
        </is>
      </c>
      <c r="D4" s="9" t="inlineStr">
        <is>
          <t>Baseline</t>
        </is>
      </c>
      <c r="E4" s="9" t="inlineStr">
        <is>
          <t>Target</t>
        </is>
      </c>
      <c r="F4" s="9" t="inlineStr">
        <is>
          <t>Current</t>
        </is>
      </c>
      <c r="G4" s="9" t="inlineStr">
        <is>
          <t>Progress</t>
        </is>
      </c>
    </row>
    <row r="5">
      <c r="B5" s="17" t="inlineStr">
        <is>
          <t>Reading</t>
        </is>
      </c>
      <c r="C5" s="17" t="inlineStr">
        <is>
          <t>Read grade-level text at fluency target</t>
        </is>
      </c>
      <c r="D5" s="25" t="n">
        <v>40</v>
      </c>
      <c r="E5" s="25" t="n">
        <v>80</v>
      </c>
      <c r="F5" s="25" t="n">
        <v>66</v>
      </c>
      <c r="G5" s="18">
        <f>IFERROR(MIN(MAX((F5-D5)/(E5-D5),0),1),0)</f>
        <v/>
      </c>
    </row>
    <row r="6">
      <c r="B6" s="20" t="inlineStr">
        <is>
          <t>Math</t>
        </is>
      </c>
      <c r="C6" s="20" t="inlineStr">
        <is>
          <t>Solve two-step word problems</t>
        </is>
      </c>
      <c r="D6" s="26" t="n">
        <v>30</v>
      </c>
      <c r="E6" s="26" t="n">
        <v>80</v>
      </c>
      <c r="F6" s="26" t="n">
        <v>62</v>
      </c>
      <c r="G6" s="21">
        <f>IFERROR(MIN(MAX((F6-D6)/(E6-D6),0),1),0)</f>
        <v/>
      </c>
    </row>
    <row r="7">
      <c r="B7" s="17" t="inlineStr">
        <is>
          <t>Writing</t>
        </is>
      </c>
      <c r="C7" s="17" t="inlineStr">
        <is>
          <t>Write on-topic sentences with support</t>
        </is>
      </c>
      <c r="D7" s="25" t="n">
        <v>2</v>
      </c>
      <c r="E7" s="25" t="n">
        <v>6</v>
      </c>
      <c r="F7" s="25" t="n">
        <v>4</v>
      </c>
      <c r="G7" s="18">
        <f>IFERROR(MIN(MAX((F7-D7)/(E7-D7),0),1),0)</f>
        <v/>
      </c>
    </row>
    <row r="8">
      <c r="B8" s="20" t="inlineStr">
        <is>
          <t>Speech / Language</t>
        </is>
      </c>
      <c r="C8" s="20" t="inlineStr">
        <is>
          <t>Produce /r/ in sentences</t>
        </is>
      </c>
      <c r="D8" s="26" t="n">
        <v>40</v>
      </c>
      <c r="E8" s="26" t="n">
        <v>90</v>
      </c>
      <c r="F8" s="26" t="n">
        <v>78</v>
      </c>
      <c r="G8" s="21">
        <f>IFERROR(MIN(MAX((F8-D8)/(E8-D8),0),1),0)</f>
        <v/>
      </c>
    </row>
    <row r="9">
      <c r="B9" s="17" t="inlineStr">
        <is>
          <t>Social / Emotional</t>
        </is>
      </c>
      <c r="C9" s="17" t="inlineStr">
        <is>
          <t>Use a calm-down strategy when frustrated</t>
        </is>
      </c>
      <c r="D9" s="25" t="n">
        <v>20</v>
      </c>
      <c r="E9" s="25" t="n">
        <v>80</v>
      </c>
      <c r="F9" s="25" t="n">
        <v>58</v>
      </c>
      <c r="G9" s="18">
        <f>IFERROR(MIN(MAX((F9-D9)/(E9-D9),0),1),0)</f>
        <v/>
      </c>
    </row>
    <row r="11">
      <c r="B11" s="4" t="inlineStr">
        <is>
          <t>Progress = (current − baseline) ÷ (target − baseline). Update 'Current' as new data comes in.</t>
        </is>
      </c>
    </row>
  </sheetData>
  <mergeCells count="3">
    <mergeCell ref="A2:G2"/>
    <mergeCell ref="A1:G1"/>
    <mergeCell ref="B11:G11"/>
  </mergeCells>
  <conditionalFormatting sqref="G5:G9">
    <cfRule type="dataBar" priority="1">
      <dataBar showValue="1">
        <cfvo type="num" val="0"/>
        <cfvo type="num" val="1"/>
        <color rgb="001B4F48"/>
      </dataBar>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4"/>
  <sheetViews>
    <sheetView showGridLines="0" workbookViewId="0">
      <pane ySplit="4" topLeftCell="A5" activePane="bottomLeft" state="frozen"/>
      <selection pane="bottomLeft" activeCell="A1" sqref="A1"/>
    </sheetView>
  </sheetViews>
  <sheetFormatPr baseColWidth="8" defaultRowHeight="15"/>
  <cols>
    <col width="14" customWidth="1" min="1" max="1"/>
    <col width="22" customWidth="1" min="2" max="2"/>
    <col width="18" customWidth="1" min="3" max="3"/>
    <col width="12" customWidth="1" min="4" max="4"/>
  </cols>
  <sheetData>
    <row r="1" ht="46" customHeight="1">
      <c r="A1" s="1" t="inlineStr">
        <is>
          <t xml:space="preserve">  📈  PROGRESS MONITORING</t>
        </is>
      </c>
    </row>
    <row r="2" ht="22" customHeight="1">
      <c r="A2" s="2" t="inlineStr">
        <is>
          <t xml:space="preserve">  Every data point, dated — the evidence behind each goal. Bring these charts to the meeting.</t>
        </is>
      </c>
    </row>
    <row r="3" ht="6" customHeight="1">
      <c r="A3" s="3" t="n"/>
      <c r="B3" s="3" t="n"/>
      <c r="C3" s="3" t="n"/>
      <c r="D3" s="3" t="n"/>
    </row>
    <row r="4" ht="30" customHeight="1">
      <c r="A4" s="9" t="inlineStr">
        <is>
          <t>Date</t>
        </is>
      </c>
      <c r="B4" s="9" t="inlineStr">
        <is>
          <t>Goal Area</t>
        </is>
      </c>
      <c r="C4" s="9" t="inlineStr">
        <is>
          <t>Measure</t>
        </is>
      </c>
      <c r="D4" s="9" t="inlineStr">
        <is>
          <t>Value</t>
        </is>
      </c>
    </row>
    <row r="5">
      <c r="A5" s="27" t="n">
        <v>46168</v>
      </c>
      <c r="B5" s="28" t="inlineStr">
        <is>
          <t>Reading</t>
        </is>
      </c>
      <c r="C5" s="29" t="inlineStr">
        <is>
          <t>WPM</t>
        </is>
      </c>
      <c r="D5" s="30" t="n">
        <v>48</v>
      </c>
    </row>
    <row r="6">
      <c r="A6" s="31" t="n">
        <v>46172</v>
      </c>
      <c r="B6" s="22" t="inlineStr">
        <is>
          <t>Math</t>
        </is>
      </c>
      <c r="C6" s="20" t="inlineStr">
        <is>
          <t>% correct</t>
        </is>
      </c>
      <c r="D6" s="32" t="n">
        <v>38</v>
      </c>
    </row>
    <row r="7">
      <c r="A7" s="27" t="n">
        <v>46175</v>
      </c>
      <c r="B7" s="28" t="inlineStr">
        <is>
          <t>Reading</t>
        </is>
      </c>
      <c r="C7" s="29" t="inlineStr">
        <is>
          <t>WPM</t>
        </is>
      </c>
      <c r="D7" s="30" t="n">
        <v>52</v>
      </c>
    </row>
    <row r="8">
      <c r="A8" s="31" t="n">
        <v>46179</v>
      </c>
      <c r="B8" s="22" t="inlineStr">
        <is>
          <t>Speech / Language</t>
        </is>
      </c>
      <c r="C8" s="20" t="inlineStr">
        <is>
          <t>% accuracy</t>
        </is>
      </c>
      <c r="D8" s="32" t="n">
        <v>52</v>
      </c>
    </row>
    <row r="9">
      <c r="A9" s="27" t="n">
        <v>46182</v>
      </c>
      <c r="B9" s="28" t="inlineStr">
        <is>
          <t>Reading</t>
        </is>
      </c>
      <c r="C9" s="29" t="inlineStr">
        <is>
          <t>WPM</t>
        </is>
      </c>
      <c r="D9" s="30" t="n">
        <v>57</v>
      </c>
    </row>
    <row r="10">
      <c r="A10" s="31" t="n">
        <v>46184</v>
      </c>
      <c r="B10" s="22" t="inlineStr">
        <is>
          <t>Writing</t>
        </is>
      </c>
      <c r="C10" s="20" t="inlineStr">
        <is>
          <t>sentences</t>
        </is>
      </c>
      <c r="D10" s="32" t="n">
        <v>3</v>
      </c>
    </row>
    <row r="11">
      <c r="A11" s="27" t="n">
        <v>46186</v>
      </c>
      <c r="B11" s="28" t="inlineStr">
        <is>
          <t>Math</t>
        </is>
      </c>
      <c r="C11" s="29" t="inlineStr">
        <is>
          <t>% correct</t>
        </is>
      </c>
      <c r="D11" s="30" t="n">
        <v>50</v>
      </c>
    </row>
    <row r="12">
      <c r="A12" s="31" t="n">
        <v>46189</v>
      </c>
      <c r="B12" s="22" t="inlineStr">
        <is>
          <t>Reading</t>
        </is>
      </c>
      <c r="C12" s="20" t="inlineStr">
        <is>
          <t>WPM</t>
        </is>
      </c>
      <c r="D12" s="32" t="n">
        <v>60</v>
      </c>
    </row>
    <row r="13">
      <c r="A13" s="27" t="n">
        <v>46191</v>
      </c>
      <c r="B13" s="28" t="inlineStr">
        <is>
          <t>Social / Emotional</t>
        </is>
      </c>
      <c r="C13" s="29" t="inlineStr">
        <is>
          <t>% of times</t>
        </is>
      </c>
      <c r="D13" s="30" t="n">
        <v>40</v>
      </c>
    </row>
    <row r="14">
      <c r="A14" s="31" t="n">
        <v>46193</v>
      </c>
      <c r="B14" s="22" t="inlineStr">
        <is>
          <t>Speech / Language</t>
        </is>
      </c>
      <c r="C14" s="20" t="inlineStr">
        <is>
          <t>% accuracy</t>
        </is>
      </c>
      <c r="D14" s="32" t="n">
        <v>64</v>
      </c>
    </row>
    <row r="15">
      <c r="A15" s="27" t="n">
        <v>46196</v>
      </c>
      <c r="B15" s="28" t="inlineStr">
        <is>
          <t>Reading</t>
        </is>
      </c>
      <c r="C15" s="29" t="inlineStr">
        <is>
          <t>WPM</t>
        </is>
      </c>
      <c r="D15" s="30" t="n">
        <v>63</v>
      </c>
    </row>
    <row r="16">
      <c r="A16" s="31" t="n">
        <v>46199</v>
      </c>
      <c r="B16" s="22" t="inlineStr">
        <is>
          <t>Reading</t>
        </is>
      </c>
      <c r="C16" s="20" t="inlineStr">
        <is>
          <t>WPM</t>
        </is>
      </c>
      <c r="D16" s="32" t="n">
        <v>61</v>
      </c>
    </row>
    <row r="17">
      <c r="A17" s="27" t="n">
        <v>46200</v>
      </c>
      <c r="B17" s="28" t="inlineStr">
        <is>
          <t>Math</t>
        </is>
      </c>
      <c r="C17" s="29" t="inlineStr">
        <is>
          <t>% correct</t>
        </is>
      </c>
      <c r="D17" s="30" t="n">
        <v>56</v>
      </c>
    </row>
    <row r="18">
      <c r="A18" s="31" t="n">
        <v>46203</v>
      </c>
      <c r="B18" s="22" t="inlineStr">
        <is>
          <t>Speech / Language</t>
        </is>
      </c>
      <c r="C18" s="20" t="inlineStr">
        <is>
          <t>% accuracy</t>
        </is>
      </c>
      <c r="D18" s="32" t="n">
        <v>70</v>
      </c>
    </row>
    <row r="19">
      <c r="A19" s="27" t="n">
        <v>46205</v>
      </c>
      <c r="B19" s="28" t="inlineStr">
        <is>
          <t>Writing</t>
        </is>
      </c>
      <c r="C19" s="29" t="inlineStr">
        <is>
          <t>sentences</t>
        </is>
      </c>
      <c r="D19" s="30" t="n">
        <v>4</v>
      </c>
    </row>
    <row r="20">
      <c r="A20" s="31" t="n">
        <v>46207</v>
      </c>
      <c r="B20" s="22" t="inlineStr">
        <is>
          <t>Speech / Language</t>
        </is>
      </c>
      <c r="C20" s="20" t="inlineStr">
        <is>
          <t>% accuracy</t>
        </is>
      </c>
      <c r="D20" s="32" t="n">
        <v>72</v>
      </c>
    </row>
    <row r="21">
      <c r="A21" s="27" t="n">
        <v>46209</v>
      </c>
      <c r="B21" s="28" t="inlineStr">
        <is>
          <t>Writing</t>
        </is>
      </c>
      <c r="C21" s="29" t="inlineStr">
        <is>
          <t>sentences</t>
        </is>
      </c>
      <c r="D21" s="30" t="n">
        <v>4</v>
      </c>
    </row>
    <row r="22">
      <c r="A22" s="31" t="n">
        <v>46210</v>
      </c>
      <c r="B22" s="22" t="inlineStr">
        <is>
          <t>Reading</t>
        </is>
      </c>
      <c r="C22" s="20" t="inlineStr">
        <is>
          <t>WPM</t>
        </is>
      </c>
      <c r="D22" s="32" t="n">
        <v>66</v>
      </c>
    </row>
    <row r="23">
      <c r="A23" s="27" t="n">
        <v>46212</v>
      </c>
      <c r="B23" s="28" t="inlineStr">
        <is>
          <t>Social / Emotional</t>
        </is>
      </c>
      <c r="C23" s="29" t="inlineStr">
        <is>
          <t>% of times</t>
        </is>
      </c>
      <c r="D23" s="30" t="n">
        <v>58</v>
      </c>
    </row>
    <row r="24">
      <c r="A24" s="31" t="n">
        <v>46214</v>
      </c>
      <c r="B24" s="22" t="inlineStr">
        <is>
          <t>Math</t>
        </is>
      </c>
      <c r="C24" s="20" t="inlineStr">
        <is>
          <t>% correct</t>
        </is>
      </c>
      <c r="D24" s="32" t="n">
        <v>62</v>
      </c>
    </row>
    <row r="25">
      <c r="A25" s="27" t="n">
        <v>46215</v>
      </c>
      <c r="B25" s="28" t="inlineStr">
        <is>
          <t>Social / Emotional</t>
        </is>
      </c>
      <c r="C25" s="29" t="inlineStr">
        <is>
          <t>% of times</t>
        </is>
      </c>
      <c r="D25" s="30" t="n">
        <v>54</v>
      </c>
    </row>
    <row r="26">
      <c r="A26" s="31" t="n">
        <v>46216</v>
      </c>
      <c r="B26" s="22" t="inlineStr">
        <is>
          <t>Math</t>
        </is>
      </c>
      <c r="C26" s="20" t="inlineStr">
        <is>
          <t>% correct</t>
        </is>
      </c>
      <c r="D26" s="32" t="n">
        <v>60</v>
      </c>
    </row>
    <row r="27">
      <c r="A27" s="27" t="n">
        <v>46218</v>
      </c>
      <c r="B27" s="28" t="inlineStr">
        <is>
          <t>Speech / Language</t>
        </is>
      </c>
      <c r="C27" s="29" t="inlineStr">
        <is>
          <t>% accuracy</t>
        </is>
      </c>
      <c r="D27" s="30" t="n">
        <v>78</v>
      </c>
    </row>
    <row r="28">
      <c r="A28" s="31" t="n">
        <v>46221</v>
      </c>
      <c r="B28" s="22" t="inlineStr">
        <is>
          <t>Reading</t>
        </is>
      </c>
      <c r="C28" s="20" t="inlineStr">
        <is>
          <t>WPM</t>
        </is>
      </c>
      <c r="D28" s="32" t="n">
        <v>65</v>
      </c>
    </row>
    <row r="29">
      <c r="A29" s="27" t="n"/>
      <c r="B29" s="28" t="n"/>
      <c r="C29" s="29" t="n"/>
      <c r="D29" s="30" t="n"/>
    </row>
    <row r="30">
      <c r="A30" s="31" t="n"/>
      <c r="B30" s="22" t="n"/>
      <c r="C30" s="20" t="n"/>
      <c r="D30" s="32" t="n"/>
    </row>
    <row r="31">
      <c r="A31" s="27" t="n"/>
      <c r="B31" s="28" t="n"/>
      <c r="C31" s="29" t="n"/>
      <c r="D31" s="30" t="n"/>
    </row>
    <row r="32">
      <c r="A32" s="31" t="n"/>
      <c r="B32" s="22" t="n"/>
      <c r="C32" s="20" t="n"/>
      <c r="D32" s="32" t="n"/>
    </row>
    <row r="33">
      <c r="A33" s="27" t="n"/>
      <c r="B33" s="28" t="n"/>
      <c r="C33" s="29" t="n"/>
      <c r="D33" s="30" t="n"/>
    </row>
    <row r="34">
      <c r="A34" s="31" t="n"/>
      <c r="B34" s="22" t="n"/>
      <c r="C34" s="20" t="n"/>
      <c r="D34" s="32" t="n"/>
    </row>
    <row r="35">
      <c r="A35" s="27" t="n"/>
      <c r="B35" s="28" t="n"/>
      <c r="C35" s="29" t="n"/>
      <c r="D35" s="30" t="n"/>
    </row>
    <row r="36">
      <c r="A36" s="31" t="n"/>
      <c r="B36" s="22" t="n"/>
      <c r="C36" s="20" t="n"/>
      <c r="D36" s="32" t="n"/>
    </row>
    <row r="37">
      <c r="A37" s="27" t="n"/>
      <c r="B37" s="28" t="n"/>
      <c r="C37" s="29" t="n"/>
      <c r="D37" s="30" t="n"/>
    </row>
    <row r="38">
      <c r="A38" s="31" t="n"/>
      <c r="B38" s="22" t="n"/>
      <c r="C38" s="20" t="n"/>
      <c r="D38" s="32" t="n"/>
    </row>
    <row r="39">
      <c r="A39" s="27" t="n"/>
      <c r="B39" s="28" t="n"/>
      <c r="C39" s="29" t="n"/>
      <c r="D39" s="30" t="n"/>
    </row>
    <row r="40">
      <c r="A40" s="31" t="n"/>
      <c r="B40" s="22" t="n"/>
      <c r="C40" s="20" t="n"/>
      <c r="D40" s="32" t="n"/>
    </row>
    <row r="41">
      <c r="A41" s="27" t="n"/>
      <c r="B41" s="28" t="n"/>
      <c r="C41" s="29" t="n"/>
      <c r="D41" s="30" t="n"/>
    </row>
    <row r="42">
      <c r="A42" s="31" t="n"/>
      <c r="B42" s="22" t="n"/>
      <c r="C42" s="20" t="n"/>
      <c r="D42" s="32" t="n"/>
    </row>
    <row r="43">
      <c r="A43" s="27" t="n"/>
      <c r="B43" s="28" t="n"/>
      <c r="C43" s="29" t="n"/>
      <c r="D43" s="30" t="n"/>
    </row>
    <row r="44">
      <c r="A44" s="31" t="n"/>
      <c r="B44" s="22" t="n"/>
      <c r="C44" s="20" t="n"/>
      <c r="D44" s="32" t="n"/>
    </row>
    <row r="45">
      <c r="A45" s="27" t="n"/>
      <c r="B45" s="28" t="n"/>
      <c r="C45" s="29" t="n"/>
      <c r="D45" s="30" t="n"/>
    </row>
    <row r="46">
      <c r="A46" s="31" t="n"/>
      <c r="B46" s="22" t="n"/>
      <c r="C46" s="20" t="n"/>
      <c r="D46" s="32" t="n"/>
    </row>
    <row r="47">
      <c r="A47" s="27" t="n"/>
      <c r="B47" s="28" t="n"/>
      <c r="C47" s="29" t="n"/>
      <c r="D47" s="30" t="n"/>
    </row>
    <row r="48">
      <c r="A48" s="31" t="n"/>
      <c r="B48" s="22" t="n"/>
      <c r="C48" s="20" t="n"/>
      <c r="D48" s="32" t="n"/>
    </row>
    <row r="49">
      <c r="A49" s="27" t="n"/>
      <c r="B49" s="28" t="n"/>
      <c r="C49" s="29" t="n"/>
      <c r="D49" s="30" t="n"/>
    </row>
    <row r="50">
      <c r="A50" s="31" t="n"/>
      <c r="B50" s="22" t="n"/>
      <c r="C50" s="20" t="n"/>
      <c r="D50" s="32" t="n"/>
    </row>
    <row r="51">
      <c r="A51" s="27" t="n"/>
      <c r="B51" s="28" t="n"/>
      <c r="C51" s="29" t="n"/>
      <c r="D51" s="30" t="n"/>
    </row>
    <row r="52">
      <c r="A52" s="31" t="n"/>
      <c r="B52" s="22" t="n"/>
      <c r="C52" s="20" t="n"/>
      <c r="D52" s="32" t="n"/>
    </row>
    <row r="53">
      <c r="A53" s="27" t="n"/>
      <c r="B53" s="28" t="n"/>
      <c r="C53" s="29" t="n"/>
      <c r="D53" s="30" t="n"/>
    </row>
    <row r="54">
      <c r="A54" s="31" t="n"/>
      <c r="B54" s="22" t="n"/>
      <c r="C54" s="20" t="n"/>
      <c r="D54" s="32" t="n"/>
    </row>
    <row r="55">
      <c r="A55" s="27" t="n"/>
      <c r="B55" s="28" t="n"/>
      <c r="C55" s="29" t="n"/>
      <c r="D55" s="30" t="n"/>
    </row>
    <row r="56">
      <c r="A56" s="31" t="n"/>
      <c r="B56" s="22" t="n"/>
      <c r="C56" s="20" t="n"/>
      <c r="D56" s="32" t="n"/>
    </row>
    <row r="57">
      <c r="A57" s="27" t="n"/>
      <c r="B57" s="28" t="n"/>
      <c r="C57" s="29" t="n"/>
      <c r="D57" s="30" t="n"/>
    </row>
    <row r="58">
      <c r="A58" s="31" t="n"/>
      <c r="B58" s="22" t="n"/>
      <c r="C58" s="20" t="n"/>
      <c r="D58" s="32" t="n"/>
    </row>
    <row r="59">
      <c r="A59" s="27" t="n"/>
      <c r="B59" s="28" t="n"/>
      <c r="C59" s="29" t="n"/>
      <c r="D59" s="30" t="n"/>
    </row>
    <row r="60">
      <c r="A60" s="31" t="n"/>
      <c r="B60" s="22" t="n"/>
      <c r="C60" s="20" t="n"/>
      <c r="D60" s="32" t="n"/>
    </row>
    <row r="61">
      <c r="A61" s="27" t="n"/>
      <c r="B61" s="28" t="n"/>
      <c r="C61" s="29" t="n"/>
      <c r="D61" s="30" t="n"/>
    </row>
    <row r="62">
      <c r="A62" s="31" t="n"/>
      <c r="B62" s="22" t="n"/>
      <c r="C62" s="20" t="n"/>
      <c r="D62" s="32" t="n"/>
    </row>
    <row r="63">
      <c r="A63" s="27" t="n"/>
      <c r="B63" s="28" t="n"/>
      <c r="C63" s="29" t="n"/>
      <c r="D63" s="30" t="n"/>
    </row>
    <row r="64">
      <c r="A64" s="31" t="n"/>
      <c r="B64" s="22" t="n"/>
      <c r="C64" s="20" t="n"/>
      <c r="D64" s="32" t="n"/>
    </row>
  </sheetData>
  <mergeCells count="2">
    <mergeCell ref="A1:D1"/>
    <mergeCell ref="A2:D2"/>
  </mergeCells>
  <dataValidations count="1">
    <dataValidation sqref="B5:B64" showDropDown="0" showInputMessage="0" showErrorMessage="0" allowBlank="1" type="list">
      <formula1>=AreaList</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
  <sheetViews>
    <sheetView showGridLines="0" workbookViewId="0">
      <pane ySplit="4" topLeftCell="A5" activePane="bottomLeft" state="frozen"/>
      <selection pane="bottomLeft" activeCell="A1" sqref="A1"/>
    </sheetView>
  </sheetViews>
  <sheetFormatPr baseColWidth="8" defaultRowHeight="15"/>
  <cols>
    <col width="2" customWidth="1" min="1" max="1"/>
    <col width="24" customWidth="1" min="2" max="2"/>
    <col width="26" customWidth="1" min="3" max="3"/>
    <col width="14" customWidth="1" min="4" max="4"/>
    <col width="14" customWidth="1" min="5" max="5"/>
    <col width="14" customWidth="1" min="6" max="6"/>
    <col width="2" customWidth="1" min="7" max="7"/>
  </cols>
  <sheetData>
    <row r="1" ht="46" customHeight="1">
      <c r="A1" s="1" t="inlineStr">
        <is>
          <t xml:space="preserve">  🧩  SERVICES &amp; MINUTES</t>
        </is>
      </c>
    </row>
    <row r="2" ht="22" customHeight="1">
      <c r="A2" s="2" t="inlineStr">
        <is>
          <t xml:space="preserve">  The supports your child is owed — service, provider, frequency &amp; minutes scheduled vs delivered.</t>
        </is>
      </c>
    </row>
    <row r="3" ht="6" customHeight="1">
      <c r="A3" s="3" t="n"/>
      <c r="B3" s="3" t="n"/>
      <c r="C3" s="3" t="n"/>
      <c r="D3" s="3" t="n"/>
      <c r="E3" s="3" t="n"/>
      <c r="F3" s="3" t="n"/>
    </row>
    <row r="4" ht="30" customHeight="1">
      <c r="B4" s="9" t="inlineStr">
        <is>
          <t>Service</t>
        </is>
      </c>
      <c r="C4" s="9" t="inlineStr">
        <is>
          <t>Provider</t>
        </is>
      </c>
      <c r="D4" s="9" t="inlineStr">
        <is>
          <t>Frequency</t>
        </is>
      </c>
      <c r="E4" s="9" t="inlineStr">
        <is>
          <t>Min/Wk</t>
        </is>
      </c>
      <c r="F4" s="9" t="inlineStr">
        <is>
          <t>Delivered</t>
        </is>
      </c>
    </row>
    <row r="5">
      <c r="B5" s="17" t="inlineStr">
        <is>
          <t>Special Education</t>
        </is>
      </c>
      <c r="C5" s="17" t="inlineStr">
        <is>
          <t>Resource room · Ms. Rivera</t>
        </is>
      </c>
      <c r="D5" s="19" t="inlineStr">
        <is>
          <t>Daily</t>
        </is>
      </c>
      <c r="E5" s="33" t="n">
        <v>300</v>
      </c>
      <c r="F5" s="33" t="n">
        <v>285</v>
      </c>
    </row>
    <row r="6">
      <c r="B6" s="20" t="inlineStr">
        <is>
          <t>Speech Therapy</t>
        </is>
      </c>
      <c r="C6" s="20" t="inlineStr">
        <is>
          <t>SLP · Mr. Nguyen</t>
        </is>
      </c>
      <c r="D6" s="22" t="inlineStr">
        <is>
          <t>2× / week</t>
        </is>
      </c>
      <c r="E6" s="34" t="n">
        <v>60</v>
      </c>
      <c r="F6" s="34" t="n">
        <v>60</v>
      </c>
    </row>
    <row r="7">
      <c r="B7" s="17" t="inlineStr">
        <is>
          <t>Occupational Therapy</t>
        </is>
      </c>
      <c r="C7" s="17" t="inlineStr">
        <is>
          <t>OT · Ms. Patel</t>
        </is>
      </c>
      <c r="D7" s="19" t="inlineStr">
        <is>
          <t>1× / week</t>
        </is>
      </c>
      <c r="E7" s="33" t="n">
        <v>30</v>
      </c>
      <c r="F7" s="33" t="n">
        <v>30</v>
      </c>
    </row>
    <row r="8">
      <c r="B8" s="20" t="inlineStr">
        <is>
          <t>Counseling</t>
        </is>
      </c>
      <c r="C8" s="20" t="inlineStr">
        <is>
          <t>School counselor</t>
        </is>
      </c>
      <c r="D8" s="22" t="inlineStr">
        <is>
          <t>1× / week</t>
        </is>
      </c>
      <c r="E8" s="34" t="n">
        <v>30</v>
      </c>
      <c r="F8" s="34" t="n">
        <v>20</v>
      </c>
    </row>
    <row r="9">
      <c r="B9" s="9" t="inlineStr">
        <is>
          <t>TOTAL / WEEK</t>
        </is>
      </c>
      <c r="C9" s="35" t="n"/>
      <c r="D9" s="35" t="n"/>
      <c r="E9" s="36">
        <f>SUM(E5:E8)</f>
        <v/>
      </c>
      <c r="F9" s="36">
        <f>SUM(F5:F8)</f>
        <v/>
      </c>
    </row>
  </sheetData>
  <mergeCells count="2">
    <mergeCell ref="A2:F2"/>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8"/>
  <sheetViews>
    <sheetView showGridLines="0" workbookViewId="0">
      <pane ySplit="4" topLeftCell="A5" activePane="bottomLeft" state="frozen"/>
      <selection pane="bottomLeft" activeCell="A1" sqref="A1"/>
    </sheetView>
  </sheetViews>
  <sheetFormatPr baseColWidth="8" defaultRowHeight="15"/>
  <cols>
    <col width="46" customWidth="1" min="1" max="1"/>
    <col width="16" customWidth="1" min="2" max="2"/>
    <col width="14" customWidth="1" min="3" max="3"/>
  </cols>
  <sheetData>
    <row r="1" ht="46" customHeight="1">
      <c r="A1" s="1" t="inlineStr">
        <is>
          <t xml:space="preserve">  🛠  ACCOMMODATIONS &amp; MODIFICATIONS</t>
        </is>
      </c>
    </row>
    <row r="2" ht="22" customHeight="1">
      <c r="A2" s="2" t="inlineStr">
        <is>
          <t xml:space="preserve">  Every accommodation &amp; where it applies — check that each one is actually in place.</t>
        </is>
      </c>
    </row>
    <row r="3" ht="6" customHeight="1">
      <c r="A3" s="3" t="n"/>
      <c r="B3" s="3" t="n"/>
      <c r="C3" s="3" t="n"/>
    </row>
    <row r="4" ht="30" customHeight="1">
      <c r="A4" s="9" t="inlineStr">
        <is>
          <t>Accommodation / Modification</t>
        </is>
      </c>
      <c r="B4" s="9" t="inlineStr">
        <is>
          <t>Setting</t>
        </is>
      </c>
      <c r="C4" s="9" t="inlineStr">
        <is>
          <t>In Place?</t>
        </is>
      </c>
    </row>
    <row r="5">
      <c r="A5" s="29" t="inlineStr">
        <is>
          <t>Extended time (1.5×) on tests</t>
        </is>
      </c>
      <c r="B5" s="28" t="inlineStr">
        <is>
          <t>Testing</t>
        </is>
      </c>
      <c r="C5" s="28" t="inlineStr">
        <is>
          <t>Yes</t>
        </is>
      </c>
    </row>
    <row r="6">
      <c r="A6" s="20" t="inlineStr">
        <is>
          <t>Preferential seating (front, near teacher)</t>
        </is>
      </c>
      <c r="B6" s="22" t="inlineStr">
        <is>
          <t>Classroom</t>
        </is>
      </c>
      <c r="C6" s="22" t="inlineStr">
        <is>
          <t>Yes</t>
        </is>
      </c>
    </row>
    <row r="7">
      <c r="A7" s="29" t="inlineStr">
        <is>
          <t>Assignments chunked into smaller steps</t>
        </is>
      </c>
      <c r="B7" s="28" t="inlineStr">
        <is>
          <t>Classroom</t>
        </is>
      </c>
      <c r="C7" s="28" t="inlineStr">
        <is>
          <t>Yes</t>
        </is>
      </c>
    </row>
    <row r="8">
      <c r="A8" s="20" t="inlineStr">
        <is>
          <t>Frequent movement / sensory breaks</t>
        </is>
      </c>
      <c r="B8" s="22" t="inlineStr">
        <is>
          <t>All settings</t>
        </is>
      </c>
      <c r="C8" s="22" t="inlineStr">
        <is>
          <t>Yes</t>
        </is>
      </c>
    </row>
    <row r="9">
      <c r="A9" s="29" t="inlineStr">
        <is>
          <t>Text-to-speech for reading passages</t>
        </is>
      </c>
      <c r="B9" s="28" t="inlineStr">
        <is>
          <t>Classroom</t>
        </is>
      </c>
      <c r="C9" s="28" t="inlineStr">
        <is>
          <t>Yes</t>
        </is>
      </c>
    </row>
    <row r="10">
      <c r="A10" s="20" t="inlineStr">
        <is>
          <t>Reduced written output / scribe</t>
        </is>
      </c>
      <c r="B10" s="22" t="inlineStr">
        <is>
          <t>Classroom</t>
        </is>
      </c>
      <c r="C10" s="22" t="inlineStr">
        <is>
          <t>Yes</t>
        </is>
      </c>
    </row>
    <row r="11">
      <c r="A11" s="29" t="inlineStr">
        <is>
          <t>Visual schedule &amp; checklists</t>
        </is>
      </c>
      <c r="B11" s="28" t="inlineStr">
        <is>
          <t>All settings</t>
        </is>
      </c>
      <c r="C11" s="28" t="inlineStr">
        <is>
          <t>Yes</t>
        </is>
      </c>
    </row>
    <row r="12">
      <c r="A12" s="20" t="inlineStr">
        <is>
          <t>Quiet, low-distraction test space</t>
        </is>
      </c>
      <c r="B12" s="22" t="inlineStr">
        <is>
          <t>Testing</t>
        </is>
      </c>
      <c r="C12" s="22" t="inlineStr">
        <is>
          <t>Yes</t>
        </is>
      </c>
    </row>
    <row r="13">
      <c r="A13" s="29" t="inlineStr">
        <is>
          <t>Directions repeated &amp; checked for understanding</t>
        </is>
      </c>
      <c r="B13" s="28" t="inlineStr">
        <is>
          <t>All settings</t>
        </is>
      </c>
      <c r="C13" s="28" t="inlineStr">
        <is>
          <t>Yes</t>
        </is>
      </c>
    </row>
    <row r="14">
      <c r="A14" s="20" t="inlineStr">
        <is>
          <t>Modified spelling list</t>
        </is>
      </c>
      <c r="B14" s="22" t="inlineStr">
        <is>
          <t>Classroom</t>
        </is>
      </c>
      <c r="C14" s="22" t="inlineStr">
        <is>
          <t>No</t>
        </is>
      </c>
    </row>
    <row r="15">
      <c r="A15" s="29" t="n"/>
      <c r="B15" s="28" t="n"/>
      <c r="C15" s="28" t="n"/>
    </row>
    <row r="16">
      <c r="A16" s="20" t="n"/>
      <c r="B16" s="22" t="n"/>
      <c r="C16" s="22" t="n"/>
    </row>
    <row r="17">
      <c r="A17" s="29" t="n"/>
      <c r="B17" s="28" t="n"/>
      <c r="C17" s="28" t="n"/>
    </row>
    <row r="18">
      <c r="A18" s="20" t="n"/>
      <c r="B18" s="22" t="n"/>
      <c r="C18" s="22" t="n"/>
    </row>
    <row r="19">
      <c r="A19" s="29" t="n"/>
      <c r="B19" s="28" t="n"/>
      <c r="C19" s="28" t="n"/>
    </row>
    <row r="20">
      <c r="A20" s="20" t="n"/>
      <c r="B20" s="22" t="n"/>
      <c r="C20" s="22" t="n"/>
    </row>
    <row r="21">
      <c r="A21" s="29" t="n"/>
      <c r="B21" s="28" t="n"/>
      <c r="C21" s="28" t="n"/>
    </row>
    <row r="22">
      <c r="A22" s="20" t="n"/>
      <c r="B22" s="22" t="n"/>
      <c r="C22" s="22" t="n"/>
    </row>
    <row r="23">
      <c r="A23" s="29" t="n"/>
      <c r="B23" s="28" t="n"/>
      <c r="C23" s="28" t="n"/>
    </row>
    <row r="24">
      <c r="A24" s="20" t="n"/>
      <c r="B24" s="22" t="n"/>
      <c r="C24" s="22" t="n"/>
    </row>
    <row r="25">
      <c r="A25" s="29" t="n"/>
      <c r="B25" s="28" t="n"/>
      <c r="C25" s="28" t="n"/>
    </row>
    <row r="26">
      <c r="A26" s="20" t="n"/>
      <c r="B26" s="22" t="n"/>
      <c r="C26" s="22" t="n"/>
    </row>
    <row r="27">
      <c r="A27" s="29" t="n"/>
      <c r="B27" s="28" t="n"/>
      <c r="C27" s="28" t="n"/>
    </row>
    <row r="28">
      <c r="A28" s="20" t="n"/>
      <c r="B28" s="22" t="n"/>
      <c r="C28" s="22" t="n"/>
    </row>
  </sheetData>
  <mergeCells count="2">
    <mergeCell ref="A1:C1"/>
    <mergeCell ref="A2:C2"/>
  </mergeCells>
  <conditionalFormatting sqref="C5:C28">
    <cfRule type="cellIs" priority="1" operator="equal" dxfId="0">
      <formula>"Yes"</formula>
    </cfRule>
    <cfRule type="cellIs" priority="2" operator="equal" dxfId="1">
      <formula>"No"</formula>
    </cfRule>
  </conditionalFormatting>
  <dataValidations count="2">
    <dataValidation sqref="B5:B28" showDropDown="0" showInputMessage="0" showErrorMessage="0" allowBlank="1" type="list">
      <formula1>=SettingList</formula1>
    </dataValidation>
    <dataValidation sqref="C5:C28" showDropDown="0" showInputMessage="0" showErrorMessage="0" allowBlank="1" type="list">
      <formula1>=YesNoList</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4"/>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16" customWidth="1" min="3" max="3"/>
    <col width="38" customWidth="1" min="4" max="4"/>
  </cols>
  <sheetData>
    <row r="1" ht="46" customHeight="1">
      <c r="A1" s="1" t="inlineStr">
        <is>
          <t xml:space="preserve">  🗣  THERAPY &amp; SESSION LOG</t>
        </is>
      </c>
    </row>
    <row r="2" ht="22" customHeight="1">
      <c r="A2" s="2" t="inlineStr">
        <is>
          <t xml:space="preserve">  Every OT, PT, speech &amp; counseling session — what was worked on and any home carryover.</t>
        </is>
      </c>
    </row>
    <row r="3" ht="6" customHeight="1">
      <c r="A3" s="3" t="n"/>
      <c r="B3" s="3" t="n"/>
      <c r="C3" s="3" t="n"/>
      <c r="D3" s="3" t="n"/>
    </row>
    <row r="4" ht="30" customHeight="1">
      <c r="A4" s="9" t="inlineStr">
        <is>
          <t>Date</t>
        </is>
      </c>
      <c r="B4" s="9" t="inlineStr">
        <is>
          <t>Type</t>
        </is>
      </c>
      <c r="C4" s="9" t="inlineStr">
        <is>
          <t>Provider</t>
        </is>
      </c>
      <c r="D4" s="9" t="inlineStr">
        <is>
          <t>Focus / Note</t>
        </is>
      </c>
    </row>
    <row r="5">
      <c r="A5" s="27" t="n">
        <v>46221</v>
      </c>
      <c r="B5" s="28" t="inlineStr">
        <is>
          <t>Speech Therapy</t>
        </is>
      </c>
      <c r="C5" s="28" t="inlineStr">
        <is>
          <t>Mr. Nguyen</t>
        </is>
      </c>
      <c r="D5" s="29" t="inlineStr">
        <is>
          <t>/r/ in phrases — 78% accuracy, great session</t>
        </is>
      </c>
    </row>
    <row r="6">
      <c r="A6" s="31" t="n">
        <v>46219</v>
      </c>
      <c r="B6" s="22" t="inlineStr">
        <is>
          <t>Occupational Therapy</t>
        </is>
      </c>
      <c r="C6" s="22" t="inlineStr">
        <is>
          <t>Ms. Patel</t>
        </is>
      </c>
      <c r="D6" s="20" t="inlineStr">
        <is>
          <t>Handwriting grip &amp; letter spacing</t>
        </is>
      </c>
    </row>
    <row r="7">
      <c r="A7" s="27" t="n">
        <v>46217</v>
      </c>
      <c r="B7" s="28" t="inlineStr">
        <is>
          <t>Speech Therapy</t>
        </is>
      </c>
      <c r="C7" s="28" t="inlineStr">
        <is>
          <t>Mr. Nguyen</t>
        </is>
      </c>
      <c r="D7" s="29" t="inlineStr">
        <is>
          <t>/r/ in words — carryover homework sent</t>
        </is>
      </c>
    </row>
    <row r="8">
      <c r="A8" s="31" t="n">
        <v>46214</v>
      </c>
      <c r="B8" s="22" t="inlineStr">
        <is>
          <t>Counseling</t>
        </is>
      </c>
      <c r="C8" s="22" t="inlineStr">
        <is>
          <t>Counselor</t>
        </is>
      </c>
      <c r="D8" s="20" t="inlineStr">
        <is>
          <t>Named feelings, practiced 'take 5' breathing</t>
        </is>
      </c>
    </row>
    <row r="9">
      <c r="A9" s="27" t="n">
        <v>46212</v>
      </c>
      <c r="B9" s="28" t="inlineStr">
        <is>
          <t>Occupational Therapy</t>
        </is>
      </c>
      <c r="C9" s="28" t="inlineStr">
        <is>
          <t>Ms. Patel</t>
        </is>
      </c>
      <c r="D9" s="29" t="inlineStr">
        <is>
          <t>Scissor skills &amp; bilateral coordination</t>
        </is>
      </c>
    </row>
    <row r="10">
      <c r="A10" s="31" t="n">
        <v>46210</v>
      </c>
      <c r="B10" s="22" t="inlineStr">
        <is>
          <t>Speech Therapy</t>
        </is>
      </c>
      <c r="C10" s="22" t="inlineStr">
        <is>
          <t>Mr. Nguyen</t>
        </is>
      </c>
      <c r="D10" s="20" t="inlineStr">
        <is>
          <t>Story retell with /r/ words</t>
        </is>
      </c>
    </row>
    <row r="11">
      <c r="A11" s="27" t="n">
        <v>46207</v>
      </c>
      <c r="B11" s="28" t="inlineStr">
        <is>
          <t>Counseling</t>
        </is>
      </c>
      <c r="C11" s="28" t="inlineStr">
        <is>
          <t>Counselor</t>
        </is>
      </c>
      <c r="D11" s="29" t="inlineStr">
        <is>
          <t>Calm-corner routine reviewed</t>
        </is>
      </c>
    </row>
    <row r="12">
      <c r="A12" s="31" t="n">
        <v>46205</v>
      </c>
      <c r="B12" s="22" t="inlineStr">
        <is>
          <t>Occupational Therapy</t>
        </is>
      </c>
      <c r="C12" s="22" t="inlineStr">
        <is>
          <t>Ms. Patel</t>
        </is>
      </c>
      <c r="D12" s="20" t="inlineStr">
        <is>
          <t>Zones of Regulation check-in</t>
        </is>
      </c>
    </row>
    <row r="13">
      <c r="A13" s="27" t="n"/>
      <c r="B13" s="28" t="n"/>
      <c r="C13" s="28" t="n"/>
      <c r="D13" s="29" t="n"/>
    </row>
    <row r="14">
      <c r="A14" s="31" t="n"/>
      <c r="B14" s="22" t="n"/>
      <c r="C14" s="22" t="n"/>
      <c r="D14" s="20" t="n"/>
    </row>
    <row r="15">
      <c r="A15" s="27" t="n"/>
      <c r="B15" s="28" t="n"/>
      <c r="C15" s="28" t="n"/>
      <c r="D15" s="29" t="n"/>
    </row>
    <row r="16">
      <c r="A16" s="31" t="n"/>
      <c r="B16" s="22" t="n"/>
      <c r="C16" s="22" t="n"/>
      <c r="D16" s="20" t="n"/>
    </row>
    <row r="17">
      <c r="A17" s="27" t="n"/>
      <c r="B17" s="28" t="n"/>
      <c r="C17" s="28" t="n"/>
      <c r="D17" s="29" t="n"/>
    </row>
    <row r="18">
      <c r="A18" s="31" t="n"/>
      <c r="B18" s="22" t="n"/>
      <c r="C18" s="22" t="n"/>
      <c r="D18" s="20" t="n"/>
    </row>
    <row r="19">
      <c r="A19" s="27" t="n"/>
      <c r="B19" s="28" t="n"/>
      <c r="C19" s="28" t="n"/>
      <c r="D19" s="29" t="n"/>
    </row>
    <row r="20">
      <c r="A20" s="31" t="n"/>
      <c r="B20" s="22" t="n"/>
      <c r="C20" s="22" t="n"/>
      <c r="D20" s="20" t="n"/>
    </row>
    <row r="21">
      <c r="A21" s="27" t="n"/>
      <c r="B21" s="28" t="n"/>
      <c r="C21" s="28" t="n"/>
      <c r="D21" s="29" t="n"/>
    </row>
    <row r="22">
      <c r="A22" s="31" t="n"/>
      <c r="B22" s="22" t="n"/>
      <c r="C22" s="22" t="n"/>
      <c r="D22" s="20" t="n"/>
    </row>
    <row r="23">
      <c r="A23" s="27" t="n"/>
      <c r="B23" s="28" t="n"/>
      <c r="C23" s="28" t="n"/>
      <c r="D23" s="29" t="n"/>
    </row>
    <row r="24">
      <c r="A24" s="31" t="n"/>
      <c r="B24" s="22" t="n"/>
      <c r="C24" s="22" t="n"/>
      <c r="D24" s="20" t="n"/>
    </row>
    <row r="25">
      <c r="A25" s="27" t="n"/>
      <c r="B25" s="28" t="n"/>
      <c r="C25" s="28" t="n"/>
      <c r="D25" s="29" t="n"/>
    </row>
    <row r="26">
      <c r="A26" s="31" t="n"/>
      <c r="B26" s="22" t="n"/>
      <c r="C26" s="22" t="n"/>
      <c r="D26" s="20" t="n"/>
    </row>
    <row r="27">
      <c r="A27" s="27" t="n"/>
      <c r="B27" s="28" t="n"/>
      <c r="C27" s="28" t="n"/>
      <c r="D27" s="29" t="n"/>
    </row>
    <row r="28">
      <c r="A28" s="31" t="n"/>
      <c r="B28" s="22" t="n"/>
      <c r="C28" s="22" t="n"/>
      <c r="D28" s="20" t="n"/>
    </row>
    <row r="29">
      <c r="A29" s="27" t="n"/>
      <c r="B29" s="28" t="n"/>
      <c r="C29" s="28" t="n"/>
      <c r="D29" s="29" t="n"/>
    </row>
    <row r="30">
      <c r="A30" s="31" t="n"/>
      <c r="B30" s="22" t="n"/>
      <c r="C30" s="22" t="n"/>
      <c r="D30" s="20" t="n"/>
    </row>
    <row r="31">
      <c r="A31" s="27" t="n"/>
      <c r="B31" s="28" t="n"/>
      <c r="C31" s="28" t="n"/>
      <c r="D31" s="29" t="n"/>
    </row>
    <row r="32">
      <c r="A32" s="31" t="n"/>
      <c r="B32" s="22" t="n"/>
      <c r="C32" s="22" t="n"/>
      <c r="D32" s="20" t="n"/>
    </row>
    <row r="33">
      <c r="A33" s="27" t="n"/>
      <c r="B33" s="28" t="n"/>
      <c r="C33" s="28" t="n"/>
      <c r="D33" s="29" t="n"/>
    </row>
    <row r="34">
      <c r="A34" s="31" t="n"/>
      <c r="B34" s="22" t="n"/>
      <c r="C34" s="22" t="n"/>
      <c r="D34" s="20" t="n"/>
    </row>
    <row r="35">
      <c r="A35" s="27" t="n"/>
      <c r="B35" s="28" t="n"/>
      <c r="C35" s="28" t="n"/>
      <c r="D35" s="29" t="n"/>
    </row>
    <row r="36">
      <c r="A36" s="31" t="n"/>
      <c r="B36" s="22" t="n"/>
      <c r="C36" s="22" t="n"/>
      <c r="D36" s="20" t="n"/>
    </row>
    <row r="37">
      <c r="A37" s="27" t="n"/>
      <c r="B37" s="28" t="n"/>
      <c r="C37" s="28" t="n"/>
      <c r="D37" s="29" t="n"/>
    </row>
    <row r="38">
      <c r="A38" s="31" t="n"/>
      <c r="B38" s="22" t="n"/>
      <c r="C38" s="22" t="n"/>
      <c r="D38" s="20" t="n"/>
    </row>
    <row r="39">
      <c r="A39" s="27" t="n"/>
      <c r="B39" s="28" t="n"/>
      <c r="C39" s="28" t="n"/>
      <c r="D39" s="29" t="n"/>
    </row>
    <row r="40">
      <c r="A40" s="31" t="n"/>
      <c r="B40" s="22" t="n"/>
      <c r="C40" s="22" t="n"/>
      <c r="D40" s="20" t="n"/>
    </row>
    <row r="41">
      <c r="A41" s="27" t="n"/>
      <c r="B41" s="28" t="n"/>
      <c r="C41" s="28" t="n"/>
      <c r="D41" s="29" t="n"/>
    </row>
    <row r="42">
      <c r="A42" s="31" t="n"/>
      <c r="B42" s="22" t="n"/>
      <c r="C42" s="22" t="n"/>
      <c r="D42" s="20" t="n"/>
    </row>
    <row r="43">
      <c r="A43" s="27" t="n"/>
      <c r="B43" s="28" t="n"/>
      <c r="C43" s="28" t="n"/>
      <c r="D43" s="29" t="n"/>
    </row>
    <row r="44">
      <c r="A44" s="31" t="n"/>
      <c r="B44" s="22" t="n"/>
      <c r="C44" s="22" t="n"/>
      <c r="D44" s="20" t="n"/>
    </row>
  </sheetData>
  <mergeCells count="2">
    <mergeCell ref="A1:D1"/>
    <mergeCell ref="A2:D2"/>
  </mergeCells>
  <dataValidations count="1">
    <dataValidation sqref="B5:B44" showDropDown="0" showInputMessage="0" showErrorMessage="0" allowBlank="1" type="list">
      <formula1>=ServiceList</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4"/>
  <sheetViews>
    <sheetView showGridLines="0" workbookViewId="0">
      <pane ySplit="4" topLeftCell="A5" activePane="bottomLeft" state="frozen"/>
      <selection pane="bottomLeft" activeCell="A1" sqref="A1"/>
    </sheetView>
  </sheetViews>
  <sheetFormatPr baseColWidth="8" defaultRowHeight="15"/>
  <cols>
    <col width="14" customWidth="1" min="1" max="1"/>
    <col width="26" customWidth="1" min="2" max="2"/>
    <col width="22" customWidth="1" min="3" max="3"/>
    <col width="28" customWidth="1" min="4" max="4"/>
  </cols>
  <sheetData>
    <row r="1" ht="46" customHeight="1">
      <c r="A1" s="1" t="inlineStr">
        <is>
          <t xml:space="preserve">  🌈  BEHAVIOR TRACKER (ABC)</t>
        </is>
      </c>
    </row>
    <row r="2" ht="22" customHeight="1">
      <c r="A2" s="2" t="inlineStr">
        <is>
          <t xml:space="preserve">  Gentle ABC notes — the situation, what happened &amp; the support that helped. Patterns become clear.</t>
        </is>
      </c>
    </row>
    <row r="3" ht="6" customHeight="1">
      <c r="A3" s="3" t="n"/>
      <c r="B3" s="3" t="n"/>
      <c r="C3" s="3" t="n"/>
      <c r="D3" s="3" t="n"/>
    </row>
    <row r="4" ht="30" customHeight="1">
      <c r="A4" s="9" t="inlineStr">
        <is>
          <t>Date</t>
        </is>
      </c>
      <c r="B4" s="9" t="inlineStr">
        <is>
          <t>Situation (before)</t>
        </is>
      </c>
      <c r="C4" s="9" t="inlineStr">
        <is>
          <t>Behavior</t>
        </is>
      </c>
      <c r="D4" s="9" t="inlineStr">
        <is>
          <t>Support that helped</t>
        </is>
      </c>
    </row>
    <row r="5">
      <c r="A5" s="27" t="n">
        <v>46222</v>
      </c>
      <c r="B5" s="29" t="inlineStr">
        <is>
          <t>Long worksheet, no breaks</t>
        </is>
      </c>
      <c r="C5" s="29" t="inlineStr">
        <is>
          <t>Put head down, refused</t>
        </is>
      </c>
      <c r="D5" s="29" t="inlineStr">
        <is>
          <t>Chunked it + a 3-min break</t>
        </is>
      </c>
    </row>
    <row r="6">
      <c r="A6" s="31" t="n">
        <v>46218</v>
      </c>
      <c r="B6" s="20" t="inlineStr">
        <is>
          <t>Group work, loud room</t>
        </is>
      </c>
      <c r="C6" s="20" t="inlineStr">
        <is>
          <t>Covered ears, left seat</t>
        </is>
      </c>
      <c r="D6" s="20" t="inlineStr">
        <is>
          <t>Noise headphones + quiet spot</t>
        </is>
      </c>
    </row>
    <row r="7">
      <c r="A7" s="27" t="n">
        <v>46215</v>
      </c>
      <c r="B7" s="29" t="inlineStr">
        <is>
          <t>Timed test</t>
        </is>
      </c>
      <c r="C7" s="29" t="inlineStr">
        <is>
          <t>Rushed, then upset</t>
        </is>
      </c>
      <c r="D7" s="29" t="inlineStr">
        <is>
          <t>Extended time reminder helped</t>
        </is>
      </c>
    </row>
    <row r="8">
      <c r="A8" s="31" t="n">
        <v>46211</v>
      </c>
      <c r="B8" s="20" t="inlineStr">
        <is>
          <t>Transition from recess</t>
        </is>
      </c>
      <c r="C8" s="20" t="inlineStr">
        <is>
          <t>Slow to settle</t>
        </is>
      </c>
      <c r="D8" s="20" t="inlineStr">
        <is>
          <t>Visual timer + first/then</t>
        </is>
      </c>
    </row>
    <row r="9">
      <c r="A9" s="27" t="n">
        <v>46208</v>
      </c>
      <c r="B9" s="29" t="inlineStr">
        <is>
          <t>Read-aloud turn</t>
        </is>
      </c>
      <c r="C9" s="29" t="inlineStr">
        <is>
          <t>Refused to read</t>
        </is>
      </c>
      <c r="D9" s="29" t="inlineStr">
        <is>
          <t>Pre-taught passage privately</t>
        </is>
      </c>
    </row>
    <row r="10">
      <c r="A10" s="31" t="n"/>
      <c r="B10" s="20" t="n"/>
      <c r="C10" s="20" t="n"/>
      <c r="D10" s="20" t="n"/>
    </row>
    <row r="11">
      <c r="A11" s="27" t="n"/>
      <c r="B11" s="29" t="n"/>
      <c r="C11" s="29" t="n"/>
      <c r="D11" s="29" t="n"/>
    </row>
    <row r="12">
      <c r="A12" s="31" t="n"/>
      <c r="B12" s="20" t="n"/>
      <c r="C12" s="20" t="n"/>
      <c r="D12" s="20" t="n"/>
    </row>
    <row r="13">
      <c r="A13" s="27" t="n"/>
      <c r="B13" s="29" t="n"/>
      <c r="C13" s="29" t="n"/>
      <c r="D13" s="29" t="n"/>
    </row>
    <row r="14">
      <c r="A14" s="31" t="n"/>
      <c r="B14" s="20" t="n"/>
      <c r="C14" s="20" t="n"/>
      <c r="D14" s="20" t="n"/>
    </row>
    <row r="15">
      <c r="A15" s="27" t="n"/>
      <c r="B15" s="29" t="n"/>
      <c r="C15" s="29" t="n"/>
      <c r="D15" s="29" t="n"/>
    </row>
    <row r="16">
      <c r="A16" s="31" t="n"/>
      <c r="B16" s="20" t="n"/>
      <c r="C16" s="20" t="n"/>
      <c r="D16" s="20" t="n"/>
    </row>
    <row r="17">
      <c r="A17" s="27" t="n"/>
      <c r="B17" s="29" t="n"/>
      <c r="C17" s="29" t="n"/>
      <c r="D17" s="29" t="n"/>
    </row>
    <row r="18">
      <c r="A18" s="31" t="n"/>
      <c r="B18" s="20" t="n"/>
      <c r="C18" s="20" t="n"/>
      <c r="D18" s="20" t="n"/>
    </row>
    <row r="19">
      <c r="A19" s="27" t="n"/>
      <c r="B19" s="29" t="n"/>
      <c r="C19" s="29" t="n"/>
      <c r="D19" s="29" t="n"/>
    </row>
    <row r="20">
      <c r="A20" s="31" t="n"/>
      <c r="B20" s="20" t="n"/>
      <c r="C20" s="20" t="n"/>
      <c r="D20" s="20" t="n"/>
    </row>
    <row r="21">
      <c r="A21" s="27" t="n"/>
      <c r="B21" s="29" t="n"/>
      <c r="C21" s="29" t="n"/>
      <c r="D21" s="29" t="n"/>
    </row>
    <row r="22">
      <c r="A22" s="31" t="n"/>
      <c r="B22" s="20" t="n"/>
      <c r="C22" s="20" t="n"/>
      <c r="D22" s="20" t="n"/>
    </row>
    <row r="23">
      <c r="A23" s="27" t="n"/>
      <c r="B23" s="29" t="n"/>
      <c r="C23" s="29" t="n"/>
      <c r="D23" s="29" t="n"/>
    </row>
    <row r="24">
      <c r="A24" s="31" t="n"/>
      <c r="B24" s="20" t="n"/>
      <c r="C24" s="20" t="n"/>
      <c r="D24" s="20" t="n"/>
    </row>
    <row r="25">
      <c r="A25" s="27" t="n"/>
      <c r="B25" s="29" t="n"/>
      <c r="C25" s="29" t="n"/>
      <c r="D25" s="29" t="n"/>
    </row>
    <row r="26">
      <c r="A26" s="31" t="n"/>
      <c r="B26" s="20" t="n"/>
      <c r="C26" s="20" t="n"/>
      <c r="D26" s="20" t="n"/>
    </row>
    <row r="27">
      <c r="A27" s="27" t="n"/>
      <c r="B27" s="29" t="n"/>
      <c r="C27" s="29" t="n"/>
      <c r="D27" s="29" t="n"/>
    </row>
    <row r="28">
      <c r="A28" s="31" t="n"/>
      <c r="B28" s="20" t="n"/>
      <c r="C28" s="20" t="n"/>
      <c r="D28" s="20" t="n"/>
    </row>
    <row r="29">
      <c r="A29" s="27" t="n"/>
      <c r="B29" s="29" t="n"/>
      <c r="C29" s="29" t="n"/>
      <c r="D29" s="29" t="n"/>
    </row>
    <row r="30">
      <c r="A30" s="31" t="n"/>
      <c r="B30" s="20" t="n"/>
      <c r="C30" s="20" t="n"/>
      <c r="D30" s="20" t="n"/>
    </row>
    <row r="31">
      <c r="A31" s="27" t="n"/>
      <c r="B31" s="29" t="n"/>
      <c r="C31" s="29" t="n"/>
      <c r="D31" s="29" t="n"/>
    </row>
    <row r="32">
      <c r="A32" s="31" t="n"/>
      <c r="B32" s="20" t="n"/>
      <c r="C32" s="20" t="n"/>
      <c r="D32" s="20" t="n"/>
    </row>
    <row r="33">
      <c r="A33" s="27" t="n"/>
      <c r="B33" s="29" t="n"/>
      <c r="C33" s="29" t="n"/>
      <c r="D33" s="29" t="n"/>
    </row>
    <row r="34">
      <c r="A34" s="31" t="n"/>
      <c r="B34" s="20" t="n"/>
      <c r="C34" s="20" t="n"/>
      <c r="D34" s="20" t="n"/>
    </row>
  </sheetData>
  <mergeCells count="2">
    <mergeCell ref="A1:D1"/>
    <mergeCell ref="A2:D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4"/>
  <sheetViews>
    <sheetView showGridLines="0" workbookViewId="0">
      <pane ySplit="4" topLeftCell="A5" activePane="bottomLeft" state="frozen"/>
      <selection pane="bottomLeft" activeCell="A1" sqref="A1"/>
    </sheetView>
  </sheetViews>
  <sheetFormatPr baseColWidth="8" defaultRowHeight="15"/>
  <cols>
    <col width="14" customWidth="1" min="1" max="1"/>
    <col width="18" customWidth="1" min="2" max="2"/>
    <col width="26" customWidth="1" min="3" max="3"/>
    <col width="30" customWidth="1" min="4" max="4"/>
  </cols>
  <sheetData>
    <row r="1" ht="46" customHeight="1">
      <c r="A1" s="1" t="inlineStr">
        <is>
          <t xml:space="preserve">  📋  MEETING LOG</t>
        </is>
      </c>
    </row>
    <row r="2" ht="22" customHeight="1">
      <c r="A2" s="2" t="inlineStr">
        <is>
          <t xml:space="preserve">  Every IEP meeting — who was there and what was decided. Your written record of every agreement.</t>
        </is>
      </c>
    </row>
    <row r="3" ht="6" customHeight="1">
      <c r="A3" s="3" t="n"/>
      <c r="B3" s="3" t="n"/>
      <c r="C3" s="3" t="n"/>
      <c r="D3" s="3" t="n"/>
    </row>
    <row r="4" ht="30" customHeight="1">
      <c r="A4" s="9" t="inlineStr">
        <is>
          <t>Date</t>
        </is>
      </c>
      <c r="B4" s="9" t="inlineStr">
        <is>
          <t>Type</t>
        </is>
      </c>
      <c r="C4" s="9" t="inlineStr">
        <is>
          <t>Attendees</t>
        </is>
      </c>
      <c r="D4" s="9" t="inlineStr">
        <is>
          <t>Key Decisions</t>
        </is>
      </c>
    </row>
    <row r="5">
      <c r="A5" s="27" t="n">
        <v>46104</v>
      </c>
      <c r="B5" s="28" t="inlineStr">
        <is>
          <t>Annual Review</t>
        </is>
      </c>
      <c r="C5" s="29" t="inlineStr">
        <is>
          <t>Parents, Ms. Rivera, SLP, OT, admin</t>
        </is>
      </c>
      <c r="D5" s="29" t="inlineStr">
        <is>
          <t>Goals updated; added counseling 1×/wk</t>
        </is>
      </c>
    </row>
    <row r="6">
      <c r="A6" s="31" t="n">
        <v>46194</v>
      </c>
      <c r="B6" s="22" t="inlineStr">
        <is>
          <t>Progress</t>
        </is>
      </c>
      <c r="C6" s="20" t="inlineStr">
        <is>
          <t>Parents, Ms. Rivera</t>
        </is>
      </c>
      <c r="D6" s="20" t="inlineStr">
        <is>
          <t>On track for reading; adjust math pacing</t>
        </is>
      </c>
    </row>
    <row r="7">
      <c r="A7" s="27" t="n">
        <v>46284</v>
      </c>
      <c r="B7" s="28" t="inlineStr">
        <is>
          <t>Annual Review</t>
        </is>
      </c>
      <c r="C7" s="29" t="inlineStr">
        <is>
          <t>Full team</t>
        </is>
      </c>
      <c r="D7" s="29" t="inlineStr">
        <is>
          <t>Scheduled — bring updated data &amp; requests</t>
        </is>
      </c>
    </row>
    <row r="8">
      <c r="A8" s="31" t="n"/>
      <c r="B8" s="22" t="n"/>
      <c r="C8" s="20" t="n"/>
      <c r="D8" s="20" t="n"/>
    </row>
    <row r="9">
      <c r="A9" s="27" t="n"/>
      <c r="B9" s="28" t="n"/>
      <c r="C9" s="29" t="n"/>
      <c r="D9" s="29" t="n"/>
    </row>
    <row r="10">
      <c r="A10" s="31" t="n"/>
      <c r="B10" s="22" t="n"/>
      <c r="C10" s="20" t="n"/>
      <c r="D10" s="20" t="n"/>
    </row>
    <row r="11">
      <c r="A11" s="27" t="n"/>
      <c r="B11" s="28" t="n"/>
      <c r="C11" s="29" t="n"/>
      <c r="D11" s="29" t="n"/>
    </row>
    <row r="12">
      <c r="A12" s="31" t="n"/>
      <c r="B12" s="22" t="n"/>
      <c r="C12" s="20" t="n"/>
      <c r="D12" s="20" t="n"/>
    </row>
    <row r="13">
      <c r="A13" s="27" t="n"/>
      <c r="B13" s="28" t="n"/>
      <c r="C13" s="29" t="n"/>
      <c r="D13" s="29" t="n"/>
    </row>
    <row r="14">
      <c r="A14" s="31" t="n"/>
      <c r="B14" s="22" t="n"/>
      <c r="C14" s="20" t="n"/>
      <c r="D14" s="20" t="n"/>
    </row>
    <row r="15">
      <c r="A15" s="27" t="n"/>
      <c r="B15" s="28" t="n"/>
      <c r="C15" s="29" t="n"/>
      <c r="D15" s="29" t="n"/>
    </row>
    <row r="16">
      <c r="A16" s="31" t="n"/>
      <c r="B16" s="22" t="n"/>
      <c r="C16" s="20" t="n"/>
      <c r="D16" s="20" t="n"/>
    </row>
    <row r="17">
      <c r="A17" s="27" t="n"/>
      <c r="B17" s="28" t="n"/>
      <c r="C17" s="29" t="n"/>
      <c r="D17" s="29" t="n"/>
    </row>
    <row r="18">
      <c r="A18" s="31" t="n"/>
      <c r="B18" s="22" t="n"/>
      <c r="C18" s="20" t="n"/>
      <c r="D18" s="20" t="n"/>
    </row>
    <row r="19">
      <c r="A19" s="27" t="n"/>
      <c r="B19" s="28" t="n"/>
      <c r="C19" s="29" t="n"/>
      <c r="D19" s="29" t="n"/>
    </row>
    <row r="20">
      <c r="A20" s="31" t="n"/>
      <c r="B20" s="22" t="n"/>
      <c r="C20" s="20" t="n"/>
      <c r="D20" s="20" t="n"/>
    </row>
    <row r="21">
      <c r="A21" s="27" t="n"/>
      <c r="B21" s="28" t="n"/>
      <c r="C21" s="29" t="n"/>
      <c r="D21" s="29" t="n"/>
    </row>
    <row r="22">
      <c r="A22" s="31" t="n"/>
      <c r="B22" s="22" t="n"/>
      <c r="C22" s="20" t="n"/>
      <c r="D22" s="20" t="n"/>
    </row>
    <row r="23">
      <c r="A23" s="27" t="n"/>
      <c r="B23" s="28" t="n"/>
      <c r="C23" s="29" t="n"/>
      <c r="D23" s="29" t="n"/>
    </row>
    <row r="24">
      <c r="A24" s="31" t="n"/>
      <c r="B24" s="22" t="n"/>
      <c r="C24" s="20" t="n"/>
      <c r="D24" s="20" t="n"/>
    </row>
  </sheetData>
  <mergeCells count="2">
    <mergeCell ref="A1:D1"/>
    <mergeCell ref="A2:D2"/>
  </mergeCells>
  <dataValidations count="1">
    <dataValidation sqref="B5:B24" showDropDown="0" showInputMessage="0" showErrorMessage="0" allowBlank="1" type="list">
      <formula1>=MeetList</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44"/>
  <sheetViews>
    <sheetView showGridLines="0" workbookViewId="0">
      <pane ySplit="4" topLeftCell="A5" activePane="bottomLeft" state="frozen"/>
      <selection pane="bottomLeft" activeCell="A1" sqref="A1"/>
    </sheetView>
  </sheetViews>
  <sheetFormatPr baseColWidth="8" defaultRowHeight="15"/>
  <cols>
    <col width="14" customWidth="1" min="1" max="1"/>
    <col width="22" customWidth="1" min="2" max="2"/>
    <col width="30" customWidth="1" min="3" max="3"/>
    <col width="22" customWidth="1" min="4" max="4"/>
  </cols>
  <sheetData>
    <row r="1" ht="46" customHeight="1">
      <c r="A1" s="1" t="inlineStr">
        <is>
          <t xml:space="preserve">  ✉  COMMUNICATION LOG</t>
        </is>
      </c>
    </row>
    <row r="2" ht="22" customHeight="1">
      <c r="A2" s="2" t="inlineStr">
        <is>
          <t xml:space="preserve">  Every email, call &amp; note — dated, with follow-ups. A paper trail protects your child.</t>
        </is>
      </c>
    </row>
    <row r="3" ht="6" customHeight="1">
      <c r="A3" s="3" t="n"/>
      <c r="B3" s="3" t="n"/>
      <c r="C3" s="3" t="n"/>
      <c r="D3" s="3" t="n"/>
    </row>
    <row r="4" ht="30" customHeight="1">
      <c r="A4" s="9" t="inlineStr">
        <is>
          <t>Date</t>
        </is>
      </c>
      <c r="B4" s="9" t="inlineStr">
        <is>
          <t>With</t>
        </is>
      </c>
      <c r="C4" s="9" t="inlineStr">
        <is>
          <t>Topic</t>
        </is>
      </c>
      <c r="D4" s="9" t="inlineStr">
        <is>
          <t>Follow-up</t>
        </is>
      </c>
    </row>
    <row r="5">
      <c r="A5" s="27" t="n">
        <v>46222</v>
      </c>
      <c r="B5" s="28" t="inlineStr">
        <is>
          <t>Ms. Rivera</t>
        </is>
      </c>
      <c r="C5" s="29" t="inlineStr">
        <is>
          <t>Weekly progress note on reading fluency</t>
        </is>
      </c>
      <c r="D5" s="29" t="inlineStr">
        <is>
          <t>None</t>
        </is>
      </c>
    </row>
    <row r="6">
      <c r="A6" s="31" t="n">
        <v>46219</v>
      </c>
      <c r="B6" s="22" t="inlineStr">
        <is>
          <t>Mr. Nguyen (SLP)</t>
        </is>
      </c>
      <c r="C6" s="20" t="inlineStr">
        <is>
          <t>Home practice for /r/ carryover</t>
        </is>
      </c>
      <c r="D6" s="20" t="inlineStr">
        <is>
          <t>Do 5 min/day</t>
        </is>
      </c>
    </row>
    <row r="7">
      <c r="A7" s="27" t="n">
        <v>46216</v>
      </c>
      <c r="B7" s="28" t="inlineStr">
        <is>
          <t>Counselor</t>
        </is>
      </c>
      <c r="C7" s="29" t="inlineStr">
        <is>
          <t>Calm-down strategy working at home too</t>
        </is>
      </c>
      <c r="D7" s="29" t="inlineStr">
        <is>
          <t>Keep reinforcing</t>
        </is>
      </c>
    </row>
    <row r="8">
      <c r="A8" s="31" t="n">
        <v>46213</v>
      </c>
      <c r="B8" s="22" t="inlineStr">
        <is>
          <t>Front office</t>
        </is>
      </c>
      <c r="C8" s="20" t="inlineStr">
        <is>
          <t>Requested copy of latest data</t>
        </is>
      </c>
      <c r="D8" s="20" t="inlineStr">
        <is>
          <t>Received</t>
        </is>
      </c>
    </row>
    <row r="9">
      <c r="A9" s="27" t="n">
        <v>46209</v>
      </c>
      <c r="B9" s="28" t="inlineStr">
        <is>
          <t>Ms. Rivera</t>
        </is>
      </c>
      <c r="C9" s="29" t="inlineStr">
        <is>
          <t>Question about extended-time on state test</t>
        </is>
      </c>
      <c r="D9" s="29" t="inlineStr">
        <is>
          <t>Confirmed in place</t>
        </is>
      </c>
    </row>
    <row r="10">
      <c r="A10" s="31" t="n"/>
      <c r="B10" s="22" t="n"/>
      <c r="C10" s="20" t="n"/>
      <c r="D10" s="20" t="n"/>
    </row>
    <row r="11">
      <c r="A11" s="27" t="n"/>
      <c r="B11" s="28" t="n"/>
      <c r="C11" s="29" t="n"/>
      <c r="D11" s="29" t="n"/>
    </row>
    <row r="12">
      <c r="A12" s="31" t="n"/>
      <c r="B12" s="22" t="n"/>
      <c r="C12" s="20" t="n"/>
      <c r="D12" s="20" t="n"/>
    </row>
    <row r="13">
      <c r="A13" s="27" t="n"/>
      <c r="B13" s="28" t="n"/>
      <c r="C13" s="29" t="n"/>
      <c r="D13" s="29" t="n"/>
    </row>
    <row r="14">
      <c r="A14" s="31" t="n"/>
      <c r="B14" s="22" t="n"/>
      <c r="C14" s="20" t="n"/>
      <c r="D14" s="20" t="n"/>
    </row>
    <row r="15">
      <c r="A15" s="27" t="n"/>
      <c r="B15" s="28" t="n"/>
      <c r="C15" s="29" t="n"/>
      <c r="D15" s="29" t="n"/>
    </row>
    <row r="16">
      <c r="A16" s="31" t="n"/>
      <c r="B16" s="22" t="n"/>
      <c r="C16" s="20" t="n"/>
      <c r="D16" s="20" t="n"/>
    </row>
    <row r="17">
      <c r="A17" s="27" t="n"/>
      <c r="B17" s="28" t="n"/>
      <c r="C17" s="29" t="n"/>
      <c r="D17" s="29" t="n"/>
    </row>
    <row r="18">
      <c r="A18" s="31" t="n"/>
      <c r="B18" s="22" t="n"/>
      <c r="C18" s="20" t="n"/>
      <c r="D18" s="20" t="n"/>
    </row>
    <row r="19">
      <c r="A19" s="27" t="n"/>
      <c r="B19" s="28" t="n"/>
      <c r="C19" s="29" t="n"/>
      <c r="D19" s="29" t="n"/>
    </row>
    <row r="20">
      <c r="A20" s="31" t="n"/>
      <c r="B20" s="22" t="n"/>
      <c r="C20" s="20" t="n"/>
      <c r="D20" s="20" t="n"/>
    </row>
    <row r="21">
      <c r="A21" s="27" t="n"/>
      <c r="B21" s="28" t="n"/>
      <c r="C21" s="29" t="n"/>
      <c r="D21" s="29" t="n"/>
    </row>
    <row r="22">
      <c r="A22" s="31" t="n"/>
      <c r="B22" s="22" t="n"/>
      <c r="C22" s="20" t="n"/>
      <c r="D22" s="20" t="n"/>
    </row>
    <row r="23">
      <c r="A23" s="27" t="n"/>
      <c r="B23" s="28" t="n"/>
      <c r="C23" s="29" t="n"/>
      <c r="D23" s="29" t="n"/>
    </row>
    <row r="24">
      <c r="A24" s="31" t="n"/>
      <c r="B24" s="22" t="n"/>
      <c r="C24" s="20" t="n"/>
      <c r="D24" s="20" t="n"/>
    </row>
    <row r="25">
      <c r="A25" s="27" t="n"/>
      <c r="B25" s="28" t="n"/>
      <c r="C25" s="29" t="n"/>
      <c r="D25" s="29" t="n"/>
    </row>
    <row r="26">
      <c r="A26" s="31" t="n"/>
      <c r="B26" s="22" t="n"/>
      <c r="C26" s="20" t="n"/>
      <c r="D26" s="20" t="n"/>
    </row>
    <row r="27">
      <c r="A27" s="27" t="n"/>
      <c r="B27" s="28" t="n"/>
      <c r="C27" s="29" t="n"/>
      <c r="D27" s="29" t="n"/>
    </row>
    <row r="28">
      <c r="A28" s="31" t="n"/>
      <c r="B28" s="22" t="n"/>
      <c r="C28" s="20" t="n"/>
      <c r="D28" s="20" t="n"/>
    </row>
    <row r="29">
      <c r="A29" s="27" t="n"/>
      <c r="B29" s="28" t="n"/>
      <c r="C29" s="29" t="n"/>
      <c r="D29" s="29" t="n"/>
    </row>
    <row r="30">
      <c r="A30" s="31" t="n"/>
      <c r="B30" s="22" t="n"/>
      <c r="C30" s="20" t="n"/>
      <c r="D30" s="20" t="n"/>
    </row>
    <row r="31">
      <c r="A31" s="27" t="n"/>
      <c r="B31" s="28" t="n"/>
      <c r="C31" s="29" t="n"/>
      <c r="D31" s="29" t="n"/>
    </row>
    <row r="32">
      <c r="A32" s="31" t="n"/>
      <c r="B32" s="22" t="n"/>
      <c r="C32" s="20" t="n"/>
      <c r="D32" s="20" t="n"/>
    </row>
    <row r="33">
      <c r="A33" s="27" t="n"/>
      <c r="B33" s="28" t="n"/>
      <c r="C33" s="29" t="n"/>
      <c r="D33" s="29" t="n"/>
    </row>
    <row r="34">
      <c r="A34" s="31" t="n"/>
      <c r="B34" s="22" t="n"/>
      <c r="C34" s="20" t="n"/>
      <c r="D34" s="20" t="n"/>
    </row>
    <row r="35">
      <c r="A35" s="27" t="n"/>
      <c r="B35" s="28" t="n"/>
      <c r="C35" s="29" t="n"/>
      <c r="D35" s="29" t="n"/>
    </row>
    <row r="36">
      <c r="A36" s="31" t="n"/>
      <c r="B36" s="22" t="n"/>
      <c r="C36" s="20" t="n"/>
      <c r="D36" s="20" t="n"/>
    </row>
    <row r="37">
      <c r="A37" s="27" t="n"/>
      <c r="B37" s="28" t="n"/>
      <c r="C37" s="29" t="n"/>
      <c r="D37" s="29" t="n"/>
    </row>
    <row r="38">
      <c r="A38" s="31" t="n"/>
      <c r="B38" s="22" t="n"/>
      <c r="C38" s="20" t="n"/>
      <c r="D38" s="20" t="n"/>
    </row>
    <row r="39">
      <c r="A39" s="27" t="n"/>
      <c r="B39" s="28" t="n"/>
      <c r="C39" s="29" t="n"/>
      <c r="D39" s="29" t="n"/>
    </row>
    <row r="40">
      <c r="A40" s="31" t="n"/>
      <c r="B40" s="22" t="n"/>
      <c r="C40" s="20" t="n"/>
      <c r="D40" s="20" t="n"/>
    </row>
    <row r="41">
      <c r="A41" s="27" t="n"/>
      <c r="B41" s="28" t="n"/>
      <c r="C41" s="29" t="n"/>
      <c r="D41" s="29" t="n"/>
    </row>
    <row r="42">
      <c r="A42" s="31" t="n"/>
      <c r="B42" s="22" t="n"/>
      <c r="C42" s="20" t="n"/>
      <c r="D42" s="20" t="n"/>
    </row>
    <row r="43">
      <c r="A43" s="27" t="n"/>
      <c r="B43" s="28" t="n"/>
      <c r="C43" s="29" t="n"/>
      <c r="D43" s="29" t="n"/>
    </row>
    <row r="44">
      <c r="A44" s="31" t="n"/>
      <c r="B44" s="22" t="n"/>
      <c r="C44" s="20" t="n"/>
      <c r="D44" s="20" t="n"/>
    </row>
  </sheetData>
  <mergeCells count="2">
    <mergeCell ref="A1:D1"/>
    <mergeCell ref="A2:D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1"/>
  <sheetViews>
    <sheetView showGridLines="0" workbookViewId="0">
      <selection activeCell="A1" sqref="A1"/>
    </sheetView>
  </sheetViews>
  <sheetFormatPr baseColWidth="8" defaultRowHeight="15"/>
  <cols>
    <col width="2" customWidth="1" min="1" max="1"/>
    <col width="26" customWidth="1" min="2" max="2"/>
    <col width="26" customWidth="1" min="3" max="3"/>
    <col width="4" customWidth="1" min="4" max="4"/>
    <col width="22" customWidth="1" min="5" max="5"/>
    <col width="22" customWidth="1" min="6" max="6"/>
    <col width="2" customWidth="1" min="7" max="7"/>
  </cols>
  <sheetData>
    <row r="1" ht="46" customHeight="1">
      <c r="A1" s="1" t="inlineStr">
        <is>
          <t xml:space="preserve">  🩺  HEALTH &amp; MEDICATIONS</t>
        </is>
      </c>
    </row>
    <row r="2" ht="22" customHeight="1">
      <c r="A2" s="2" t="inlineStr">
        <is>
          <t xml:space="preserve">  The health picture the team should know — keep it current &amp; private.</t>
        </is>
      </c>
    </row>
    <row r="3" ht="6" customHeight="1">
      <c r="A3" s="3" t="n"/>
      <c r="B3" s="3" t="n"/>
      <c r="C3" s="3" t="n"/>
      <c r="D3" s="3" t="n"/>
      <c r="E3" s="3" t="n"/>
      <c r="F3" s="3" t="n"/>
    </row>
    <row r="5" ht="24" customHeight="1">
      <c r="B5" s="23" t="inlineStr">
        <is>
          <t>Doctor / clinic</t>
        </is>
      </c>
      <c r="C5" s="24" t="inlineStr">
        <is>
          <t>—</t>
        </is>
      </c>
      <c r="E5" s="23" t="inlineStr">
        <is>
          <t>Diagnoses (as shared)</t>
        </is>
      </c>
      <c r="F5" s="24" t="inlineStr">
        <is>
          <t>—</t>
        </is>
      </c>
    </row>
    <row r="6" ht="24" customHeight="1">
      <c r="B6" s="23" t="inlineStr">
        <is>
          <t>Medications</t>
        </is>
      </c>
      <c r="C6" s="24" t="inlineStr">
        <is>
          <t>—</t>
        </is>
      </c>
      <c r="E6" s="23" t="inlineStr">
        <is>
          <t>Dosage &amp; timing</t>
        </is>
      </c>
      <c r="F6" s="24" t="inlineStr">
        <is>
          <t>—</t>
        </is>
      </c>
    </row>
    <row r="7" ht="24" customHeight="1">
      <c r="B7" s="23" t="inlineStr">
        <is>
          <t>Allergies</t>
        </is>
      </c>
      <c r="C7" s="24" t="inlineStr">
        <is>
          <t>—</t>
        </is>
      </c>
      <c r="E7" s="23" t="inlineStr">
        <is>
          <t>Sensory needs</t>
        </is>
      </c>
      <c r="F7" s="24" t="inlineStr">
        <is>
          <t>Noise-sensitive; likes movement</t>
        </is>
      </c>
    </row>
    <row r="8" ht="24" customHeight="1">
      <c r="B8" s="23" t="inlineStr">
        <is>
          <t>Emergency contact</t>
        </is>
      </c>
      <c r="C8" s="24" t="inlineStr">
        <is>
          <t>—</t>
        </is>
      </c>
      <c r="E8" s="23" t="inlineStr">
        <is>
          <t>Health plan at school</t>
        </is>
      </c>
      <c r="F8" s="24" t="inlineStr">
        <is>
          <t>—</t>
        </is>
      </c>
    </row>
    <row r="9" ht="24" customHeight="1">
      <c r="B9" s="23" t="inlineStr">
        <is>
          <t>Sleep / diet notes</t>
        </is>
      </c>
      <c r="C9" s="24" t="inlineStr">
        <is>
          <t>—</t>
        </is>
      </c>
      <c r="E9" s="23" t="inlineStr">
        <is>
          <t>Other notes</t>
        </is>
      </c>
      <c r="F9" s="24" t="inlineStr">
        <is>
          <t>—</t>
        </is>
      </c>
    </row>
    <row r="11">
      <c r="B11" s="4" t="inlineStr">
        <is>
          <t>Keep this file private — it may contain sensitive health information. Share only with those who need it.</t>
        </is>
      </c>
    </row>
  </sheetData>
  <mergeCells count="3">
    <mergeCell ref="A2:F2"/>
    <mergeCell ref="A1:F1"/>
    <mergeCell ref="B11:F1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4"/>
  <sheetViews>
    <sheetView showGridLines="0" workbookViewId="0">
      <selection activeCell="A1" sqref="A1"/>
    </sheetView>
  </sheetViews>
  <sheetFormatPr baseColWidth="8" defaultRowHeight="15"/>
  <cols>
    <col width="2" customWidth="1" min="1" max="1"/>
    <col width="42" customWidth="1" min="2" max="2"/>
    <col width="42" customWidth="1" min="3" max="3"/>
    <col width="2" customWidth="1" min="4" max="4"/>
  </cols>
  <sheetData>
    <row r="1" ht="46" customHeight="1">
      <c r="A1" s="1" t="inlineStr">
        <is>
          <t xml:space="preserve">  ⭐  STRENGTHS &amp; INTERESTS</t>
        </is>
      </c>
    </row>
    <row r="2" ht="22" customHeight="1">
      <c r="A2" s="2" t="inlineStr">
        <is>
          <t xml:space="preserve">  Start every meeting here — your child is so much more than a list of needs.</t>
        </is>
      </c>
    </row>
    <row r="3" ht="6" customHeight="1">
      <c r="A3" s="3" t="n"/>
      <c r="B3" s="3" t="n"/>
      <c r="C3" s="3" t="n"/>
    </row>
    <row r="5">
      <c r="B5" s="4" t="inlineStr">
        <is>
          <t>STRENGTHS</t>
        </is>
      </c>
      <c r="C5" s="4" t="inlineStr">
        <is>
          <t>INTERESTS &amp; MOTIVATORS</t>
        </is>
      </c>
    </row>
    <row r="6" ht="26" customHeight="1">
      <c r="B6" s="37" t="inlineStr">
        <is>
          <t>•  Kind &amp; empathetic</t>
        </is>
      </c>
      <c r="C6" s="38" t="inlineStr">
        <is>
          <t>•  Dinosaurs &amp; Legos</t>
        </is>
      </c>
    </row>
    <row r="7" ht="26" customHeight="1">
      <c r="B7" s="37" t="inlineStr">
        <is>
          <t>•  Amazing long-term memory</t>
        </is>
      </c>
      <c r="C7" s="38" t="inlineStr">
        <is>
          <t>•  Being the 'helper'</t>
        </is>
      </c>
    </row>
    <row r="8" ht="26" customHeight="1">
      <c r="B8" s="37" t="inlineStr">
        <is>
          <t>•  Curious about how things work</t>
        </is>
      </c>
      <c r="C8" s="38" t="inlineStr">
        <is>
          <t>•  Earning tablet time</t>
        </is>
      </c>
    </row>
    <row r="9" ht="26" customHeight="1">
      <c r="B9" s="37" t="inlineStr">
        <is>
          <t>•  Persistent when motivated</t>
        </is>
      </c>
      <c r="C9" s="38" t="inlineStr">
        <is>
          <t>•  Hands-on projects</t>
        </is>
      </c>
    </row>
    <row r="10" ht="26" customHeight="1">
      <c r="B10" s="37" t="inlineStr">
        <is>
          <t>•  Great with younger kids</t>
        </is>
      </c>
      <c r="C10" s="38" t="inlineStr">
        <is>
          <t>•  Drawing &amp; comics</t>
        </is>
      </c>
    </row>
    <row r="11" ht="26" customHeight="1">
      <c r="B11" s="37" t="inlineStr">
        <is>
          <t>•  Creative builder &amp; problem-solver</t>
        </is>
      </c>
      <c r="C11" s="38" t="inlineStr">
        <is>
          <t>•  Praise &amp; high-fives</t>
        </is>
      </c>
    </row>
    <row r="14">
      <c r="B14" s="4" t="inlineStr">
        <is>
          <t>Bring this to every meeting — a strengths-based start changes the whole conversation.</t>
        </is>
      </c>
    </row>
  </sheetData>
  <mergeCells count="5">
    <mergeCell ref="A1:C1"/>
    <mergeCell ref="B14:C14"/>
    <mergeCell ref="B5"/>
    <mergeCell ref="C5"/>
    <mergeCell ref="A2:C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4"/>
  <sheetViews>
    <sheetView showGridLines="0" workbookViewId="0">
      <pane ySplit="4" topLeftCell="A5" activePane="bottomLeft" state="frozen"/>
      <selection pane="bottomLeft" activeCell="A1" sqref="A1"/>
    </sheetView>
  </sheetViews>
  <sheetFormatPr baseColWidth="8" defaultRowHeight="15"/>
  <cols>
    <col width="40" customWidth="1" min="1" max="1"/>
    <col width="14" customWidth="1" min="2" max="2"/>
    <col width="26" customWidth="1" min="3" max="3"/>
  </cols>
  <sheetData>
    <row r="1" ht="46" customHeight="1">
      <c r="A1" s="1" t="inlineStr">
        <is>
          <t xml:space="preserve">  🗂  RECORDS &amp; DOCUMENTS</t>
        </is>
      </c>
    </row>
    <row r="2" ht="22" customHeight="1">
      <c r="A2" s="2" t="inlineStr">
        <is>
          <t xml:space="preserve">  The binder checklist — everything you want on hand &amp; meeting-ready.</t>
        </is>
      </c>
    </row>
    <row r="3" ht="6" customHeight="1">
      <c r="A3" s="3" t="n"/>
      <c r="B3" s="3" t="n"/>
      <c r="C3" s="3" t="n"/>
    </row>
    <row r="4" ht="30" customHeight="1">
      <c r="A4" s="9" t="inlineStr">
        <is>
          <t>Document / Record</t>
        </is>
      </c>
      <c r="B4" s="9" t="inlineStr">
        <is>
          <t>Have It?</t>
        </is>
      </c>
      <c r="C4" s="9" t="inlineStr">
        <is>
          <t>Location / Notes</t>
        </is>
      </c>
    </row>
    <row r="5">
      <c r="A5" s="29" t="inlineStr">
        <is>
          <t>Current IEP / 504 on file</t>
        </is>
      </c>
      <c r="B5" s="28" t="inlineStr">
        <is>
          <t>Yes</t>
        </is>
      </c>
      <c r="C5" s="29" t="n"/>
    </row>
    <row r="6">
      <c r="A6" s="20" t="inlineStr">
        <is>
          <t>Signed consent forms</t>
        </is>
      </c>
      <c r="B6" s="22" t="inlineStr">
        <is>
          <t>Yes</t>
        </is>
      </c>
      <c r="C6" s="20" t="n"/>
    </row>
    <row r="7">
      <c r="A7" s="29" t="inlineStr">
        <is>
          <t>Most recent evaluation report</t>
        </is>
      </c>
      <c r="B7" s="28" t="inlineStr">
        <is>
          <t>Yes</t>
        </is>
      </c>
      <c r="C7" s="29" t="n"/>
    </row>
    <row r="8">
      <c r="A8" s="20" t="inlineStr">
        <is>
          <t>Progress reports (each period)</t>
        </is>
      </c>
      <c r="B8" s="22" t="inlineStr">
        <is>
          <t>Yes</t>
        </is>
      </c>
      <c r="C8" s="20" t="n"/>
    </row>
    <row r="9">
      <c r="A9" s="29" t="inlineStr">
        <is>
          <t>Meeting notices &amp; minutes</t>
        </is>
      </c>
      <c r="B9" s="28" t="inlineStr">
        <is>
          <t>Yes</t>
        </is>
      </c>
      <c r="C9" s="29" t="n"/>
    </row>
    <row r="10">
      <c r="A10" s="20" t="inlineStr">
        <is>
          <t>Work samples for the binder</t>
        </is>
      </c>
      <c r="B10" s="22" t="inlineStr">
        <is>
          <t>In Progress</t>
        </is>
      </c>
      <c r="C10" s="20" t="n"/>
    </row>
    <row r="11">
      <c r="A11" s="29" t="inlineStr">
        <is>
          <t>Prior written notices (PWN)</t>
        </is>
      </c>
      <c r="B11" s="28" t="inlineStr">
        <is>
          <t>Yes</t>
        </is>
      </c>
      <c r="C11" s="29" t="n"/>
    </row>
    <row r="12">
      <c r="A12" s="20" t="inlineStr">
        <is>
          <t>Data charts printed for meeting</t>
        </is>
      </c>
      <c r="B12" s="22" t="inlineStr">
        <is>
          <t>No</t>
        </is>
      </c>
      <c r="C12" s="20" t="n"/>
    </row>
    <row r="13">
      <c r="A13" s="29" t="n"/>
      <c r="B13" s="28" t="n"/>
      <c r="C13" s="29" t="n"/>
    </row>
    <row r="14">
      <c r="A14" s="20" t="n"/>
      <c r="B14" s="22" t="n"/>
      <c r="C14" s="20" t="n"/>
    </row>
    <row r="15">
      <c r="A15" s="29" t="n"/>
      <c r="B15" s="28" t="n"/>
      <c r="C15" s="29" t="n"/>
    </row>
    <row r="16">
      <c r="A16" s="20" t="n"/>
      <c r="B16" s="22" t="n"/>
      <c r="C16" s="20" t="n"/>
    </row>
    <row r="17">
      <c r="A17" s="29" t="n"/>
      <c r="B17" s="28" t="n"/>
      <c r="C17" s="29" t="n"/>
    </row>
    <row r="18">
      <c r="A18" s="20" t="n"/>
      <c r="B18" s="22" t="n"/>
      <c r="C18" s="20" t="n"/>
    </row>
    <row r="19">
      <c r="A19" s="29" t="n"/>
      <c r="B19" s="28" t="n"/>
      <c r="C19" s="29" t="n"/>
    </row>
    <row r="20">
      <c r="A20" s="20" t="n"/>
      <c r="B20" s="22" t="n"/>
      <c r="C20" s="20" t="n"/>
    </row>
    <row r="21">
      <c r="A21" s="29" t="n"/>
      <c r="B21" s="28" t="n"/>
      <c r="C21" s="29" t="n"/>
    </row>
    <row r="22">
      <c r="A22" s="20" t="n"/>
      <c r="B22" s="22" t="n"/>
      <c r="C22" s="20" t="n"/>
    </row>
    <row r="23">
      <c r="A23" s="29" t="n"/>
      <c r="B23" s="28" t="n"/>
      <c r="C23" s="29" t="n"/>
    </row>
    <row r="24">
      <c r="A24" s="20" t="n"/>
      <c r="B24" s="22" t="n"/>
      <c r="C24" s="20" t="n"/>
    </row>
  </sheetData>
  <mergeCells count="2">
    <mergeCell ref="A1:C1"/>
    <mergeCell ref="A2:C2"/>
  </mergeCells>
  <conditionalFormatting sqref="B5:B24">
    <cfRule type="cellIs" priority="1" operator="equal" dxfId="0">
      <formula>"Yes"</formula>
    </cfRule>
    <cfRule type="cellIs" priority="2" operator="equal" dxfId="1">
      <formula>"In Progress"</formula>
    </cfRule>
    <cfRule type="cellIs" priority="3" operator="equal" dxfId="2">
      <formula>"No"</formula>
    </cfRule>
  </conditionalFormatting>
  <dataValidations count="1">
    <dataValidation sqref="B5:B24" showDropDown="0" showInputMessage="0" showErrorMessage="0" allowBlank="1" type="list">
      <formula1>=DoneList</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34"/>
  <sheetViews>
    <sheetView showGridLines="0" workbookViewId="0">
      <pane ySplit="4" topLeftCell="A5" activePane="bottomLeft" state="frozen"/>
      <selection pane="bottomLeft" activeCell="A1" sqref="A1"/>
    </sheetView>
  </sheetViews>
  <sheetFormatPr baseColWidth="8" defaultRowHeight="15"/>
  <cols>
    <col width="50" customWidth="1" min="1" max="1"/>
    <col width="16" customWidth="1" min="2" max="2"/>
  </cols>
  <sheetData>
    <row r="1" ht="46" customHeight="1">
      <c r="A1" s="1" t="inlineStr">
        <is>
          <t xml:space="preserve">  🎉  WINS &amp; MILESTONES</t>
        </is>
      </c>
    </row>
    <row r="2" ht="22" customHeight="1">
      <c r="A2" s="2" t="inlineStr">
        <is>
          <t xml:space="preserve">  Every step forward, big or small — the progress that gets lost between meetings. Celebrate it here.</t>
        </is>
      </c>
    </row>
    <row r="3" ht="6" customHeight="1">
      <c r="A3" s="3" t="n"/>
      <c r="B3" s="3" t="n"/>
    </row>
    <row r="4" ht="30" customHeight="1">
      <c r="A4" s="9" t="inlineStr">
        <is>
          <t>Win / Milestone</t>
        </is>
      </c>
      <c r="B4" s="9" t="inlineStr">
        <is>
          <t>Date</t>
        </is>
      </c>
    </row>
    <row r="5">
      <c r="A5" s="29" t="inlineStr">
        <is>
          <t>Hit 66 WPM — up from 40!</t>
        </is>
      </c>
      <c r="B5" s="27" t="n">
        <v>46221</v>
      </c>
    </row>
    <row r="6">
      <c r="A6" s="20" t="inlineStr">
        <is>
          <t>Said /r/ clearly in a whole sentence</t>
        </is>
      </c>
      <c r="B6" s="31" t="n">
        <v>46218</v>
      </c>
    </row>
    <row r="7">
      <c r="A7" s="29" t="inlineStr">
        <is>
          <t>Read a chapter book start to finish</t>
        </is>
      </c>
      <c r="B7" s="27" t="n">
        <v>46216</v>
      </c>
    </row>
    <row r="8">
      <c r="A8" s="20" t="inlineStr">
        <is>
          <t>Asked for a break instead of melting down</t>
        </is>
      </c>
      <c r="B8" s="31" t="n">
        <v>46213</v>
      </c>
    </row>
    <row r="9">
      <c r="A9" s="29" t="inlineStr">
        <is>
          <t>Used 'take 5' without a reminder</t>
        </is>
      </c>
      <c r="B9" s="27" t="n">
        <v>46210</v>
      </c>
    </row>
    <row r="10">
      <c r="A10" s="20" t="inlineStr">
        <is>
          <t>Finished a math test in the time</t>
        </is>
      </c>
      <c r="B10" s="31" t="n">
        <v>46204</v>
      </c>
    </row>
    <row r="11">
      <c r="A11" s="29" t="n"/>
      <c r="B11" s="27" t="n"/>
    </row>
    <row r="12">
      <c r="A12" s="20" t="n"/>
      <c r="B12" s="31" t="n"/>
    </row>
    <row r="13">
      <c r="A13" s="29" t="n"/>
      <c r="B13" s="27" t="n"/>
    </row>
    <row r="14">
      <c r="A14" s="20" t="n"/>
      <c r="B14" s="31" t="n"/>
    </row>
    <row r="15">
      <c r="A15" s="29" t="n"/>
      <c r="B15" s="27" t="n"/>
    </row>
    <row r="16">
      <c r="A16" s="20" t="n"/>
      <c r="B16" s="31" t="n"/>
    </row>
    <row r="17">
      <c r="A17" s="29" t="n"/>
      <c r="B17" s="27" t="n"/>
    </row>
    <row r="18">
      <c r="A18" s="20" t="n"/>
      <c r="B18" s="31" t="n"/>
    </row>
    <row r="19">
      <c r="A19" s="29" t="n"/>
      <c r="B19" s="27" t="n"/>
    </row>
    <row r="20">
      <c r="A20" s="20" t="n"/>
      <c r="B20" s="31" t="n"/>
    </row>
    <row r="21">
      <c r="A21" s="29" t="n"/>
      <c r="B21" s="27" t="n"/>
    </row>
    <row r="22">
      <c r="A22" s="20" t="n"/>
      <c r="B22" s="31" t="n"/>
    </row>
    <row r="23">
      <c r="A23" s="29" t="n"/>
      <c r="B23" s="27" t="n"/>
    </row>
    <row r="24">
      <c r="A24" s="20" t="n"/>
      <c r="B24" s="31" t="n"/>
    </row>
    <row r="25">
      <c r="A25" s="29" t="n"/>
      <c r="B25" s="27" t="n"/>
    </row>
    <row r="26">
      <c r="A26" s="20" t="n"/>
      <c r="B26" s="31" t="n"/>
    </row>
    <row r="27">
      <c r="A27" s="29" t="n"/>
      <c r="B27" s="27" t="n"/>
    </row>
    <row r="28">
      <c r="A28" s="20" t="n"/>
      <c r="B28" s="31" t="n"/>
    </row>
    <row r="29">
      <c r="A29" s="29" t="n"/>
      <c r="B29" s="27" t="n"/>
    </row>
    <row r="30">
      <c r="A30" s="20" t="n"/>
      <c r="B30" s="31" t="n"/>
    </row>
    <row r="31">
      <c r="A31" s="29" t="n"/>
      <c r="B31" s="27" t="n"/>
    </row>
    <row r="32">
      <c r="A32" s="20" t="n"/>
      <c r="B32" s="31" t="n"/>
    </row>
    <row r="33">
      <c r="A33" s="29" t="n"/>
      <c r="B33" s="27" t="n"/>
    </row>
    <row r="34">
      <c r="A34" s="20" t="n"/>
      <c r="B34" s="31" t="n"/>
    </row>
  </sheetData>
  <mergeCells count="2">
    <mergeCell ref="A2:B2"/>
    <mergeCell ref="A1:B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6"/>
  <sheetViews>
    <sheetView showGridLines="0" workbookViewId="0">
      <selection activeCell="A1" sqref="A1"/>
    </sheetView>
  </sheetViews>
  <sheetFormatPr baseColWidth="8" defaultRowHeight="15"/>
  <cols>
    <col width="2" customWidth="1" min="1" max="1"/>
    <col width="26" customWidth="1" min="2" max="2"/>
    <col width="20" customWidth="1" min="3" max="3"/>
    <col width="3"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ht="46" customHeight="1">
      <c r="A1" s="1" t="inlineStr">
        <is>
          <t xml:space="preserve">  ⚙  SETTINGS</t>
        </is>
      </c>
    </row>
    <row r="2" ht="22" customHeight="1">
      <c r="A2" s="2" t="inlineStr">
        <is>
          <t xml:space="preserve">  Set your child's details &amp; lists once — every tab follows.</t>
        </is>
      </c>
    </row>
    <row r="3" ht="6" customHeight="1">
      <c r="A3" s="3" t="n"/>
      <c r="B3" s="3" t="n"/>
      <c r="C3" s="3" t="n"/>
      <c r="D3" s="3" t="n"/>
      <c r="E3" s="3" t="n"/>
      <c r="F3" s="3" t="n"/>
      <c r="G3" s="3" t="n"/>
      <c r="H3" s="3" t="n"/>
      <c r="I3" s="3" t="n"/>
      <c r="J3" s="3" t="n"/>
      <c r="K3" s="3" t="n"/>
      <c r="L3" s="3" t="n"/>
    </row>
    <row r="5">
      <c r="B5" s="7" t="inlineStr">
        <is>
          <t>CHILD &amp; PLAN</t>
        </is>
      </c>
      <c r="E5" s="4" t="inlineStr">
        <is>
          <t>DROPDOWN LISTS</t>
        </is>
      </c>
    </row>
    <row r="6">
      <c r="B6" s="23" t="inlineStr">
        <is>
          <t>Child's Name</t>
        </is>
      </c>
      <c r="C6" s="39" t="inlineStr">
        <is>
          <t>Sam Bennett</t>
        </is>
      </c>
      <c r="E6" s="9" t="inlineStr">
        <is>
          <t>Goal Area</t>
        </is>
      </c>
      <c r="F6" s="9" t="inlineStr">
        <is>
          <t>Yes / No</t>
        </is>
      </c>
      <c r="G6" s="9" t="inlineStr">
        <is>
          <t>Setting</t>
        </is>
      </c>
      <c r="H6" s="9" t="inlineStr">
        <is>
          <t>Service</t>
        </is>
      </c>
      <c r="I6" s="9" t="inlineStr">
        <is>
          <t>Meeting</t>
        </is>
      </c>
      <c r="J6" s="9" t="inlineStr">
        <is>
          <t>Done?</t>
        </is>
      </c>
    </row>
    <row r="7">
      <c r="B7" s="23" t="inlineStr">
        <is>
          <t>Grade</t>
        </is>
      </c>
      <c r="C7" s="39" t="inlineStr">
        <is>
          <t>3</t>
        </is>
      </c>
      <c r="E7" s="17" t="inlineStr">
        <is>
          <t>Reading</t>
        </is>
      </c>
      <c r="F7" s="17" t="inlineStr">
        <is>
          <t>Yes</t>
        </is>
      </c>
      <c r="G7" s="17" t="inlineStr">
        <is>
          <t>All settings</t>
        </is>
      </c>
      <c r="H7" s="17" t="inlineStr">
        <is>
          <t>Special Education</t>
        </is>
      </c>
      <c r="I7" s="17" t="inlineStr">
        <is>
          <t>Annual Review</t>
        </is>
      </c>
      <c r="J7" s="17" t="inlineStr">
        <is>
          <t>Yes</t>
        </is>
      </c>
    </row>
    <row r="8">
      <c r="B8" s="23" t="inlineStr">
        <is>
          <t>Plan Type</t>
        </is>
      </c>
      <c r="C8" s="39" t="inlineStr">
        <is>
          <t>IEP — Specific Learning Disability + Speech</t>
        </is>
      </c>
      <c r="E8" s="17" t="inlineStr">
        <is>
          <t>Math</t>
        </is>
      </c>
      <c r="F8" s="17" t="inlineStr">
        <is>
          <t>No</t>
        </is>
      </c>
      <c r="G8" s="17" t="inlineStr">
        <is>
          <t>Classroom</t>
        </is>
      </c>
      <c r="H8" s="17" t="inlineStr">
        <is>
          <t>Speech Therapy</t>
        </is>
      </c>
      <c r="I8" s="17" t="inlineStr">
        <is>
          <t>Eligibility</t>
        </is>
      </c>
      <c r="J8" s="17" t="inlineStr">
        <is>
          <t>In Progress</t>
        </is>
      </c>
    </row>
    <row r="9">
      <c r="B9" s="23" t="inlineStr">
        <is>
          <t>Case Manager</t>
        </is>
      </c>
      <c r="C9" s="39" t="inlineStr">
        <is>
          <t>Ms. Rivera</t>
        </is>
      </c>
      <c r="E9" s="17" t="inlineStr">
        <is>
          <t>Writing</t>
        </is>
      </c>
      <c r="G9" s="17" t="inlineStr">
        <is>
          <t>Testing</t>
        </is>
      </c>
      <c r="H9" s="17" t="inlineStr">
        <is>
          <t>Occupational Therapy</t>
        </is>
      </c>
      <c r="I9" s="17" t="inlineStr">
        <is>
          <t>Re-evaluation</t>
        </is>
      </c>
      <c r="J9" s="17" t="inlineStr">
        <is>
          <t>No</t>
        </is>
      </c>
    </row>
    <row r="10">
      <c r="B10" s="23" t="inlineStr">
        <is>
          <t>Next Annual Review</t>
        </is>
      </c>
      <c r="C10" s="40" t="n">
        <v>46284</v>
      </c>
      <c r="E10" s="17" t="inlineStr">
        <is>
          <t>Speech / Language</t>
        </is>
      </c>
      <c r="G10" s="17" t="inlineStr">
        <is>
          <t>Specials</t>
        </is>
      </c>
      <c r="H10" s="17" t="inlineStr">
        <is>
          <t>Physical Therapy</t>
        </is>
      </c>
      <c r="I10" s="17" t="inlineStr">
        <is>
          <t>Amendment</t>
        </is>
      </c>
    </row>
    <row r="11">
      <c r="B11" s="23" t="inlineStr">
        <is>
          <t>Data Points Target</t>
        </is>
      </c>
      <c r="C11" s="25" t="n">
        <v>30</v>
      </c>
      <c r="E11" s="17" t="inlineStr">
        <is>
          <t>Social / Emotional</t>
        </is>
      </c>
      <c r="G11" s="17" t="inlineStr">
        <is>
          <t>Home</t>
        </is>
      </c>
      <c r="H11" s="17" t="inlineStr">
        <is>
          <t>Counseling</t>
        </is>
      </c>
      <c r="I11" s="17" t="inlineStr">
        <is>
          <t>Progress</t>
        </is>
      </c>
    </row>
    <row r="12">
      <c r="E12" s="17" t="inlineStr">
        <is>
          <t>Behavior</t>
        </is>
      </c>
      <c r="G12" s="17" t="inlineStr">
        <is>
          <t>Recess</t>
        </is>
      </c>
      <c r="H12" s="17" t="inlineStr">
        <is>
          <t>Behavior Support</t>
        </is>
      </c>
      <c r="I12" s="17" t="inlineStr">
        <is>
          <t>Other</t>
        </is>
      </c>
    </row>
    <row r="13">
      <c r="E13" s="17" t="inlineStr">
        <is>
          <t>Fine Motor</t>
        </is>
      </c>
      <c r="H13" s="17" t="inlineStr">
        <is>
          <t>Other</t>
        </is>
      </c>
    </row>
    <row r="14">
      <c r="E14" s="17" t="inlineStr">
        <is>
          <t>Gross Motor</t>
        </is>
      </c>
    </row>
    <row r="15">
      <c r="E15" s="17" t="inlineStr">
        <is>
          <t>Life Skills</t>
        </is>
      </c>
    </row>
    <row r="16">
      <c r="E16" s="17" t="inlineStr">
        <is>
          <t>Other</t>
        </is>
      </c>
    </row>
  </sheetData>
  <mergeCells count="4">
    <mergeCell ref="E5:L5"/>
    <mergeCell ref="A2:L2"/>
    <mergeCell ref="B5:C5"/>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2026-07-21T03:20:33Z</dcterms:created>
  <dcterms:modified xsi:type="dcterms:W3CDTF">2026-07-21T03:20:33Z</dcterms:modified>
</cp:coreProperties>
</file>