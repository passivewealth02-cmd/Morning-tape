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Debts" sheetId="3" state="visible" r:id="rId3"/>
    <sheet name="Payoff Plan" sheetId="4" state="visible" r:id="rId4"/>
    <sheet name="Snowball vs Avalanche" sheetId="5" state="visible" r:id="rId5"/>
    <sheet name="Payment Log" sheetId="6" state="visible" r:id="rId6"/>
    <sheet name="Balance History" sheetId="7" state="visible" r:id="rId7"/>
    <sheet name="Extra Payment" sheetId="8" state="visible" r:id="rId8"/>
    <sheet name="Milestones" sheetId="9" state="visible" r:id="rId9"/>
    <sheet name="Interest Tracker" sheetId="10" state="visible" r:id="rId10"/>
    <sheet name="Accelerators" sheetId="11" state="visible" r:id="rId11"/>
    <sheet name="Settings" sheetId="12" state="visible" r:id="rId12"/>
  </sheets>
  <definedNames>
    <definedName name="Household">Settings!$C$6</definedName>
    <definedName name="Method">Settings!$C$7</definedName>
    <definedName name="ExtraPay">Settings!$C$8</definedName>
    <definedName name="ExtraTarget">Settings!$C$9</definedName>
    <definedName name="StarterEF">Settings!$C$10</definedName>
    <definedName name="EFSaved">Settings!$C$11</definedName>
    <definedName name="TypeList">Settings!$E$7:$E$13</definedName>
    <definedName name="YesNoList">Settings!$F$7:$F$8</definedName>
    <definedName name="MethodList">Settings!$G$7:$G$8</definedName>
    <definedName name="DebtName">'Debts'!$B$5:$B$10</definedName>
    <definedName name="DebtType">'Debts'!$C$5:$C$10</definedName>
    <definedName name="DebtBalance">'Debts'!$D$5:$D$10</definedName>
    <definedName name="DebtAPR">'Debts'!$E$5:$E$10</definedName>
    <definedName name="DebtMin">'Debts'!$F$5:$F$10</definedName>
    <definedName name="DebtOrig">'Debts'!$G$5:$G$10</definedName>
    <definedName name="DebtPct">'Debts'!$H$5:$H$10</definedName>
    <definedName name="DebtTotal">'Debts'!$D$11</definedName>
    <definedName name="DebtMinTotal">'Debts'!$F$11</definedName>
    <definedName name="DebtOrigTotal">'Debts'!$G$11</definedName>
    <definedName name="PlanName">'Payoff Plan'!$C$7:$C$12</definedName>
    <definedName name="PlanPayoff">'Payoff Plan'!$G$7:$G$12</definedName>
    <definedName name="SnowMonths">'Snowball vs Avalanche'!$C$6</definedName>
    <definedName name="AvalMonths">'Snowball vs Avalanche'!$D$6</definedName>
    <definedName name="SnowInterest">'Snowball vs Avalanche'!$C$8</definedName>
    <definedName name="AvalInterest">'Snowball vs Avalanche'!$D$8</definedName>
    <definedName name="InterestSaved">'Snowball vs Avalanche'!$F$12</definedName>
    <definedName name="SnowDate">'Snowball vs Avalanche'!$C$7</definedName>
    <definedName name="MyMonths">'Snowball vs Avalanche'!$C$15</definedName>
    <definedName name="MyInterest">'Snowball vs Avalanche'!$C$16</definedName>
    <definedName name="PayOnTime">'Payment Log'!$E$5:$E$52</definedName>
    <definedName name="PayAmount">'Payment Log'!$D$5:$D$52</definedName>
    <definedName name="HistMonth">'Balance History'!$B$5:$B$14</definedName>
    <definedName name="HistBalance">'Balance History'!$C$5:$C$14</definedName>
    <definedName name="FoundAmount">'Extra Payment'!$C$5:$C$24</definedName>
    <definedName name="FoundTotal">'Extra Payment'!$C$25</definedName>
    <definedName name="MilestoneDone">'Milestones'!$C$5:$C$20</definedName>
    <definedName name="MinOnlyInterest">'Interest Tracker'!$F$6</definedName>
    <definedName name="AccelBoost">'Accelerators'!$C$5:$C$9</definedName>
    <definedName name="AccelOn">'Accelerators'!$D$5:$D$9</definedName>
    <definedName name="AccelActive">'Accelerators'!$C$10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mmm yyyy"/>
    <numFmt numFmtId="167" formatCode="mm/dd/yyyy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C94C4C"/>
    </font>
    <font>
      <b val="1"/>
      <color rgb="001B4F48"/>
    </font>
    <font>
      <i val="1"/>
      <color rgb="00937356"/>
    </font>
    <font>
      <b val="1"/>
      <color rgb="001B4F48"/>
      <sz val="16"/>
    </font>
    <font>
      <b val="1"/>
      <color rgb="00937356"/>
      <sz val="9"/>
    </font>
    <font>
      <b val="1"/>
      <color rgb="001B4F48"/>
      <sz val="18"/>
    </font>
    <font>
      <b val="1"/>
      <color rgb="001B4F48"/>
      <sz val="13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66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4" fillId="9" borderId="3" applyAlignment="1" pivotButton="0" quotePrefix="0" xfId="0">
      <alignment horizontal="center" vertical="center"/>
    </xf>
    <xf numFmtId="0" fontId="0" fillId="9" borderId="3" pivotButton="0" quotePrefix="0" xfId="0"/>
    <xf numFmtId="164" fontId="15" fillId="9" borderId="2" applyAlignment="1" pivotButton="0" quotePrefix="0" xfId="0">
      <alignment horizontal="center" vertical="center"/>
    </xf>
    <xf numFmtId="0" fontId="0" fillId="9" borderId="2" pivotButton="0" quotePrefix="0" xfId="0"/>
    <xf numFmtId="9" fontId="15" fillId="9" borderId="2" applyAlignment="1" pivotButton="0" quotePrefix="0" xfId="0">
      <alignment horizontal="center" vertical="center"/>
    </xf>
    <xf numFmtId="166" fontId="15" fillId="9" borderId="2" applyAlignment="1" pivotButton="0" quotePrefix="0" xfId="0">
      <alignment horizontal="center" vertical="center"/>
    </xf>
    <xf numFmtId="3" fontId="15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0" fontId="7" fillId="3" borderId="2" applyAlignment="1" pivotButton="0" quotePrefix="0" xfId="8">
      <alignment horizontal="center" vertical="center"/>
    </xf>
    <xf numFmtId="164" fontId="7" fillId="8" borderId="2" applyAlignment="1" pivotButton="0" quotePrefix="0" xfId="8">
      <alignment horizontal="center" vertical="center"/>
    </xf>
    <xf numFmtId="10" fontId="7" fillId="8" borderId="2" applyAlignment="1" pivotButton="0" quotePrefix="0" xfId="8">
      <alignment horizontal="center" vertical="center"/>
    </xf>
    <xf numFmtId="0" fontId="6" fillId="3" borderId="2" applyAlignment="1" pivotButton="0" quotePrefix="0" xfId="6">
      <alignment horizontal="center" vertical="center" wrapText="1"/>
    </xf>
    <xf numFmtId="164" fontId="10" fillId="3" borderId="2" applyAlignment="1" pivotButton="0" quotePrefix="0" xfId="6">
      <alignment horizontal="center" vertical="center" wrapText="1"/>
    </xf>
    <xf numFmtId="164" fontId="11" fillId="3" borderId="2" applyAlignment="1" pivotButton="0" quotePrefix="0" xfId="6">
      <alignment horizontal="center" vertical="center" wrapText="1"/>
    </xf>
    <xf numFmtId="9" fontId="11" fillId="3" borderId="2" applyAlignment="1" pivotButton="0" quotePrefix="0" xfId="6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6" fillId="6" borderId="2" applyAlignment="1" pivotButton="0" quotePrefix="0" xfId="6">
      <alignment horizontal="center" vertical="center" wrapText="1"/>
    </xf>
    <xf numFmtId="0" fontId="6" fillId="6" borderId="2" applyAlignment="1" pivotButton="0" quotePrefix="0" xfId="7">
      <alignment horizontal="left" vertical="center" wrapText="1" indent="1"/>
    </xf>
    <xf numFmtId="164" fontId="6" fillId="6" borderId="2" applyAlignment="1" pivotButton="0" quotePrefix="0" xfId="6">
      <alignment horizontal="center" vertical="center" wrapText="1"/>
    </xf>
    <xf numFmtId="10" fontId="6" fillId="6" borderId="2" applyAlignment="1" pivotButton="0" quotePrefix="0" xfId="6">
      <alignment horizontal="center" vertical="center" wrapText="1"/>
    </xf>
    <xf numFmtId="166" fontId="6" fillId="6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0" fontId="6" fillId="8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164" fontId="6" fillId="0" borderId="2" applyAlignment="1" pivotButton="0" quotePrefix="0" xfId="6">
      <alignment horizontal="center" vertical="center" wrapText="1"/>
    </xf>
    <xf numFmtId="10" fontId="6" fillId="0" borderId="2" applyAlignment="1" pivotButton="0" quotePrefix="0" xfId="6">
      <alignment horizontal="center" vertical="center" wrapText="1"/>
    </xf>
    <xf numFmtId="166" fontId="6" fillId="0" borderId="2" applyAlignment="1" pivotButton="0" quotePrefix="0" xfId="6">
      <alignment horizontal="center" vertical="center" wrapText="1"/>
    </xf>
    <xf numFmtId="1" fontId="6" fillId="0" borderId="2" applyAlignment="1" pivotButton="0" quotePrefix="0" xfId="6">
      <alignment horizontal="center" vertical="center" wrapText="1"/>
    </xf>
    <xf numFmtId="49" fontId="6" fillId="8" borderId="2" applyAlignment="1" pivotButton="0" quotePrefix="0" xfId="6">
      <alignment horizontal="center" vertical="center" wrapText="1"/>
    </xf>
    <xf numFmtId="49" fontId="6" fillId="0" borderId="2" applyAlignment="1" pivotButton="0" quotePrefix="0" xfId="6">
      <alignment horizontal="center" vertical="center" wrapText="1"/>
    </xf>
    <xf numFmtId="164" fontId="13" fillId="6" borderId="2" applyAlignment="1" pivotButton="0" quotePrefix="0" xfId="10">
      <alignment horizontal="left" vertical="center" indent="1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164" fontId="7" fillId="0" borderId="2" applyAlignment="1" pivotButton="0" quotePrefix="0" xfId="10">
      <alignment horizontal="left" vertical="center" indent="1"/>
    </xf>
    <xf numFmtId="167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164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164" fontId="6" fillId="4" borderId="2" applyAlignment="1" pivotButton="0" quotePrefix="0" xfId="6">
      <alignment horizontal="center" vertical="center" wrapText="1"/>
    </xf>
    <xf numFmtId="0" fontId="12" fillId="0" borderId="2" applyAlignment="1" pivotButton="0" quotePrefix="0" xfId="6">
      <alignment horizontal="center" vertical="center" wrapText="1"/>
    </xf>
    <xf numFmtId="0" fontId="7" fillId="6" borderId="2" applyAlignment="1" pivotButton="0" quotePrefix="0" xfId="10">
      <alignment horizontal="left" vertical="center" indent="1"/>
    </xf>
    <xf numFmtId="164" fontId="11" fillId="6" borderId="2" applyAlignment="1" pivotButton="0" quotePrefix="0" xfId="10">
      <alignment horizontal="left" vertical="center" indent="1"/>
    </xf>
    <xf numFmtId="0" fontId="7" fillId="3" borderId="2" applyAlignment="1" pivotButton="0" quotePrefix="0" xfId="8">
      <alignment horizontal="center" vertical="center"/>
    </xf>
    <xf numFmtId="0" fontId="7" fillId="8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dxfs count="2">
    <dxf>
      <fill>
        <patternFill patternType="solid">
          <fgColor rgb="00E3F8EF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Balance by Debt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'Debts'!$B$5:$B$10</f>
            </numRef>
          </cat>
          <val>
            <numRef>
              <f>'Debts'!$D$5:$D$10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Debt Balance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History'!C4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History'!$B$5:$B$14</f>
            </numRef>
          </cat>
          <val>
            <numRef>
              <f>'Balance History'!$C$5:$C$14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🔥  DEBT PAYOFF COMMAND CENTER™</t>
        </is>
      </c>
    </row>
    <row r="2" ht="24" customHeight="1">
      <c r="A2" s="2" t="inlineStr">
        <is>
          <t xml:space="preserve">  Pick a method, throw every extra dollar at it &amp; watch your debt-free date arrive sooner.</t>
        </is>
      </c>
    </row>
    <row r="3" ht="6" customHeight="1">
      <c r="A3" s="3" t="n"/>
      <c r="B3" s="3" t="n"/>
      <c r="C3" s="3" t="n"/>
    </row>
    <row r="5">
      <c r="B5" s="4" t="inlineStr">
        <is>
          <t>YOUR WHOLE DEBT-FREEDOM PLAN, IN ONE PLACE</t>
        </is>
      </c>
    </row>
    <row r="6" ht="22" customHeight="1">
      <c r="B6" s="5" t="inlineStr">
        <is>
          <t>List every debt once, choose snowball (smallest balance first) or avalanche (highest rate first), and set your extra monthly payment. The plan orders your debts, projects your debt-free date, and shows exactly how much interest you'll pay — and how much you'll save by attacking the right debt first. Log each payment, watch your total balance shrink month after month, and celebrate every milestone on the way to $0.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name, pick a method &amp; set your extra monthly payment.</t>
        </is>
      </c>
    </row>
    <row r="13" ht="22" customHeight="1">
      <c r="B13" s="8" t="inlineStr">
        <is>
          <t>2.  List every debt on the Debts tab — balance, rate &amp; minimum payment.</t>
        </is>
      </c>
    </row>
    <row r="14" ht="22" customHeight="1">
      <c r="B14" s="8" t="inlineStr">
        <is>
          <t>3.  The Payoff Plan orders them &amp; names your focus debt — the one to attack first.</t>
        </is>
      </c>
    </row>
    <row r="15" ht="22" customHeight="1">
      <c r="B15" s="8" t="inlineStr">
        <is>
          <t>4.  Compare Snowball vs Avalanche — see months, total interest &amp; your debt-free date.</t>
        </is>
      </c>
    </row>
    <row r="16" ht="22" customHeight="1">
      <c r="B16" s="8" t="inlineStr">
        <is>
          <t>5.  Log payments &amp; update balances; watch the Balance History line fall toward $0.</t>
        </is>
      </c>
    </row>
    <row r="17" ht="22" customHeight="1">
      <c r="B17" s="8" t="inlineStr">
        <is>
          <t>6.  Check the Dashboard: total debt, % paid, debt-free date &amp; a Payoff Momentum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debts for a fictional household are included so you can see how it all connects — just type over them with your own. Avalanche saves the most interest; snowball gives the fastest wins — the comparison tab shows both so you can choose. Twelve matching printable pages (debt list, payoff plan, payment tracker, balance chart &amp; more) are included to print and keep. This is a personal debt-payoff tool, not financial, tax or credit advice — for big decisions, talk to a qualified professional.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Every extra dollar is a day closer to debt-free — momentum wins.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🔥  DEBT PAYOFF COMMAND CENTER™</t>
        </is>
      </c>
    </row>
    <row r="2" ht="24" customHeight="1">
      <c r="A2" s="2" t="inlineStr">
        <is>
          <t xml:space="preserve">  Total debt, % paid, debt-free date &amp; the interest you'll save — your whole payoff, automatically tracked.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TOTAL DEBT</t>
        </is>
      </c>
      <c r="C5" s="13" t="n"/>
      <c r="D5" s="12" t="inlineStr">
        <is>
          <t>PAID OFF</t>
        </is>
      </c>
      <c r="E5" s="13" t="n"/>
      <c r="F5" s="12" t="inlineStr">
        <is>
          <t>% PAID</t>
        </is>
      </c>
      <c r="G5" s="13" t="n"/>
      <c r="H5" s="12" t="inlineStr">
        <is>
          <t>MONTHLY PAYMENT</t>
        </is>
      </c>
      <c r="I5" s="13" t="n"/>
      <c r="J5" s="12" t="inlineStr">
        <is>
          <t>EXTRA PAYMENT</t>
        </is>
      </c>
      <c r="K5" s="13" t="n"/>
      <c r="L5" s="12" t="inlineStr">
        <is>
          <t>HIGHEST APR</t>
        </is>
      </c>
      <c r="M5" s="13" t="n"/>
    </row>
    <row r="6" ht="40" customHeight="1">
      <c r="B6" s="14">
        <f>DebtTotal</f>
        <v/>
      </c>
      <c r="C6" s="15" t="n"/>
      <c r="D6" s="14">
        <f>DebtOrigTotal-DebtTotal</f>
        <v/>
      </c>
      <c r="E6" s="15" t="n"/>
      <c r="F6" s="16">
        <f>IFERROR((DebtOrigTotal-DebtTotal)/DebtOrigTotal,0)</f>
        <v/>
      </c>
      <c r="G6" s="15" t="n"/>
      <c r="H6" s="14">
        <f>DebtMinTotal+ExtraPay</f>
        <v/>
      </c>
      <c r="I6" s="15" t="n"/>
      <c r="J6" s="14">
        <f>ExtraPay</f>
        <v/>
      </c>
      <c r="K6" s="15" t="n"/>
      <c r="L6" s="16">
        <f>MAX(DebtAPR)</f>
        <v/>
      </c>
      <c r="M6" s="15" t="n"/>
    </row>
    <row r="8" ht="18" customHeight="1">
      <c r="B8" s="12" t="inlineStr">
        <is>
          <t>DEBT-FREE DATE</t>
        </is>
      </c>
      <c r="C8" s="13" t="n"/>
      <c r="D8" s="12" t="inlineStr">
        <is>
          <t>MONTHS TO FREE</t>
        </is>
      </c>
      <c r="E8" s="13" t="n"/>
      <c r="F8" s="12" t="inlineStr">
        <is>
          <t>TOTAL INTEREST</t>
        </is>
      </c>
      <c r="G8" s="13" t="n"/>
      <c r="H8" s="12" t="inlineStr">
        <is>
          <t>INTEREST SAVED</t>
        </is>
      </c>
      <c r="I8" s="13" t="n"/>
      <c r="J8" s="12" t="inlineStr">
        <is>
          <t>FOCUS DEBT</t>
        </is>
      </c>
      <c r="K8" s="13" t="n"/>
      <c r="L8" s="12" t="inlineStr">
        <is>
          <t>MOMENTUM</t>
        </is>
      </c>
      <c r="M8" s="13" t="n"/>
    </row>
    <row r="9" ht="40" customHeight="1">
      <c r="B9" s="17">
        <f>SnowDate</f>
        <v/>
      </c>
      <c r="C9" s="15" t="n"/>
      <c r="D9" s="18">
        <f>MyMonths</f>
        <v/>
      </c>
      <c r="E9" s="15" t="n"/>
      <c r="F9" s="14">
        <f>MyInterest</f>
        <v/>
      </c>
      <c r="G9" s="15" t="n"/>
      <c r="H9" s="14">
        <f>InterestSaved</f>
        <v/>
      </c>
      <c r="I9" s="15" t="n"/>
      <c r="J9" s="19">
        <f>INDEX(PlanName,1)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PAYOFF MOMENTUM</t>
        </is>
      </c>
      <c r="H11" s="4" t="inlineStr">
        <is>
          <t>DEBT BY BALANCE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20" t="inlineStr">
        <is>
          <t>Debt reduced</t>
        </is>
      </c>
      <c r="C13" s="21">
        <f>IFERROR((DebtOrigTotal-DebtTotal)/DebtOrigTotal,0)</f>
        <v/>
      </c>
      <c r="D13" s="22">
        <f>IF(C13&gt;=0.85,"Strong",IF(C13&gt;=0.5,"Building","Focus"))</f>
        <v/>
      </c>
    </row>
    <row r="14">
      <c r="B14" s="23" t="inlineStr">
        <is>
          <t>Extra payment funded</t>
        </is>
      </c>
      <c r="C14" s="24">
        <f>IFERROR(MIN(ExtraPay/ExtraTarget,1),0)</f>
        <v/>
      </c>
      <c r="D14" s="25">
        <f>IF(C14&gt;=0.85,"Strong",IF(C14&gt;=0.5,"Building","Focus"))</f>
        <v/>
      </c>
    </row>
    <row r="15">
      <c r="B15" s="20" t="inlineStr">
        <is>
          <t>Payments on time</t>
        </is>
      </c>
      <c r="C15" s="21">
        <f>IFERROR(COUNTIF(PayOnTime,"Yes")/COUNTA(PayOnTime),0)</f>
        <v/>
      </c>
      <c r="D15" s="22">
        <f>IF(C15&gt;=0.85,"Strong",IF(C15&gt;=0.5,"Building","Focus"))</f>
        <v/>
      </c>
    </row>
    <row r="16">
      <c r="B16" s="23" t="inlineStr">
        <is>
          <t>Milestones hit</t>
        </is>
      </c>
      <c r="C16" s="24">
        <f>IFERROR(COUNTIF(MilestoneDone,"Yes")/COUNTA(MilestoneDone),0)</f>
        <v/>
      </c>
      <c r="D16" s="25">
        <f>IF(C16&gt;=0.85,"Strong",IF(C16&gt;=0.5,"Building","Focus"))</f>
        <v/>
      </c>
    </row>
    <row r="17">
      <c r="B17" s="20" t="inlineStr">
        <is>
          <t>Per-debt progress</t>
        </is>
      </c>
      <c r="C17" s="21">
        <f>IFERROR(AVERAGE(DebtPct),0)</f>
        <v/>
      </c>
      <c r="D17" s="22">
        <f>IF(C17&gt;=0.85,"Strong",IF(C17&gt;=0.5,"Building","Focus"))</f>
        <v/>
      </c>
    </row>
    <row r="18">
      <c r="B18" s="23" t="inlineStr">
        <is>
          <t>Starter fund ready</t>
        </is>
      </c>
      <c r="C18" s="24">
        <f>IFERROR(MIN(EFSaved/StarterEF,1),0)</f>
        <v/>
      </c>
      <c r="D18" s="25">
        <f>IF(C18&gt;=0.85,"Strong",IF(C18&gt;=0.5,"Building","Focus"))</f>
        <v/>
      </c>
    </row>
    <row r="21" ht="26" customHeight="1">
      <c r="B21" s="2" t="inlineStr">
        <is>
          <t>Debt Payoff Command Center™ — pick a method, fund the extra payment &amp; attack the focus debt.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4" customWidth="1" min="4" max="4"/>
    <col width="10" customWidth="1" min="5" max="5"/>
    <col width="14" customWidth="1" min="6" max="6"/>
    <col width="14" customWidth="1" min="7" max="7"/>
    <col width="12" customWidth="1" min="8" max="8"/>
    <col width="2" customWidth="1" min="9" max="9"/>
  </cols>
  <sheetData>
    <row r="1" ht="46" customHeight="1">
      <c r="A1" s="1" t="inlineStr">
        <is>
          <t xml:space="preserve">  💳  YOUR DEBTS</t>
        </is>
      </c>
    </row>
    <row r="2" ht="22" customHeight="1">
      <c r="A2" s="2" t="inlineStr">
        <is>
          <t xml:space="preserve">  List every debt once — balance, rate &amp; minimum. This is the engine behind your plan.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B4" s="9" t="inlineStr">
        <is>
          <t>Debt</t>
        </is>
      </c>
      <c r="C4" s="9" t="inlineStr">
        <is>
          <t>Type</t>
        </is>
      </c>
      <c r="D4" s="9" t="inlineStr">
        <is>
          <t>Balance</t>
        </is>
      </c>
      <c r="E4" s="9" t="inlineStr">
        <is>
          <t>APR</t>
        </is>
      </c>
      <c r="F4" s="9" t="inlineStr">
        <is>
          <t>Min</t>
        </is>
      </c>
      <c r="G4" s="9" t="inlineStr">
        <is>
          <t>Original</t>
        </is>
      </c>
      <c r="H4" s="9" t="inlineStr">
        <is>
          <t>% Paid</t>
        </is>
      </c>
    </row>
    <row r="5">
      <c r="B5" s="20" t="inlineStr">
        <is>
          <t>Medical Bill</t>
        </is>
      </c>
      <c r="C5" s="22" t="inlineStr">
        <is>
          <t>Medical</t>
        </is>
      </c>
      <c r="D5" s="26" t="n">
        <v>1900</v>
      </c>
      <c r="E5" s="27" t="n">
        <v>0</v>
      </c>
      <c r="F5" s="26" t="n">
        <v>90</v>
      </c>
      <c r="G5" s="26" t="n">
        <v>3000</v>
      </c>
      <c r="H5" s="21">
        <f>IFERROR((G5-D5)/G5,0)</f>
        <v/>
      </c>
    </row>
    <row r="6">
      <c r="B6" s="23" t="inlineStr">
        <is>
          <t>Store Card</t>
        </is>
      </c>
      <c r="C6" s="25" t="inlineStr">
        <is>
          <t>Credit Card</t>
        </is>
      </c>
      <c r="D6" s="28" t="n">
        <v>3200</v>
      </c>
      <c r="E6" s="29" t="n">
        <v>0.2699</v>
      </c>
      <c r="F6" s="28" t="n">
        <v>75</v>
      </c>
      <c r="G6" s="28" t="n">
        <v>4000</v>
      </c>
      <c r="H6" s="24">
        <f>IFERROR((G6-D6)/G6,0)</f>
        <v/>
      </c>
    </row>
    <row r="7">
      <c r="B7" s="20" t="inlineStr">
        <is>
          <t>Personal Loan</t>
        </is>
      </c>
      <c r="C7" s="22" t="inlineStr">
        <is>
          <t>Personal</t>
        </is>
      </c>
      <c r="D7" s="26" t="n">
        <v>6300</v>
      </c>
      <c r="E7" s="27" t="n">
        <v>0.149</v>
      </c>
      <c r="F7" s="26" t="n">
        <v>180</v>
      </c>
      <c r="G7" s="26" t="n">
        <v>8000</v>
      </c>
      <c r="H7" s="21">
        <f>IFERROR((G7-D7)/G7,0)</f>
        <v/>
      </c>
    </row>
    <row r="8">
      <c r="B8" s="23" t="inlineStr">
        <is>
          <t>Credit Card A</t>
        </is>
      </c>
      <c r="C8" s="25" t="inlineStr">
        <is>
          <t>Credit Card</t>
        </is>
      </c>
      <c r="D8" s="28" t="n">
        <v>9400</v>
      </c>
      <c r="E8" s="29" t="n">
        <v>0.2299</v>
      </c>
      <c r="F8" s="28" t="n">
        <v>235</v>
      </c>
      <c r="G8" s="28" t="n">
        <v>12000</v>
      </c>
      <c r="H8" s="24">
        <f>IFERROR((G8-D8)/G8,0)</f>
        <v/>
      </c>
    </row>
    <row r="9">
      <c r="B9" s="20" t="inlineStr">
        <is>
          <t>Car Loan</t>
        </is>
      </c>
      <c r="C9" s="22" t="inlineStr">
        <is>
          <t>Auto</t>
        </is>
      </c>
      <c r="D9" s="26" t="n">
        <v>12800</v>
      </c>
      <c r="E9" s="27" t="n">
        <v>0.06900000000000001</v>
      </c>
      <c r="F9" s="26" t="n">
        <v>360</v>
      </c>
      <c r="G9" s="26" t="n">
        <v>19000</v>
      </c>
      <c r="H9" s="21">
        <f>IFERROR((G9-D9)/G9,0)</f>
        <v/>
      </c>
    </row>
    <row r="10">
      <c r="B10" s="23" t="inlineStr">
        <is>
          <t>Student Loan</t>
        </is>
      </c>
      <c r="C10" s="25" t="inlineStr">
        <is>
          <t>Student</t>
        </is>
      </c>
      <c r="D10" s="28" t="n">
        <v>14200</v>
      </c>
      <c r="E10" s="29" t="n">
        <v>0.058</v>
      </c>
      <c r="F10" s="28" t="n">
        <v>165</v>
      </c>
      <c r="G10" s="28" t="n">
        <v>20000</v>
      </c>
      <c r="H10" s="24">
        <f>IFERROR((G10-D10)/G10,0)</f>
        <v/>
      </c>
    </row>
    <row r="11">
      <c r="B11" s="9" t="inlineStr">
        <is>
          <t>TOTAL</t>
        </is>
      </c>
      <c r="C11" s="30" t="n"/>
      <c r="D11" s="31">
        <f>SUM(D5:D10)</f>
        <v/>
      </c>
      <c r="E11" s="30" t="n"/>
      <c r="F11" s="32">
        <f>SUM(F5:F10)</f>
        <v/>
      </c>
      <c r="G11" s="32">
        <f>SUM(G5:G10)</f>
        <v/>
      </c>
      <c r="H11" s="33">
        <f>IFERROR((G11-D11)/G11,0)</f>
        <v/>
      </c>
    </row>
  </sheetData>
  <mergeCells count="2">
    <mergeCell ref="A2:H2"/>
    <mergeCell ref="A1:H1"/>
  </mergeCells>
  <conditionalFormatting sqref="E5:E10">
    <cfRule type="colorScale" priority="1">
      <colorScale>
        <cfvo type="min"/>
        <cfvo type="max"/>
        <color rgb="FF75E6C1"/>
        <color rgb="FFFBE6E6"/>
      </colorScale>
    </cfRule>
  </conditionalFormatting>
  <conditionalFormatting sqref="H5:H10">
    <cfRule type="dataBar" priority="2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24" customWidth="1" min="3" max="3"/>
    <col width="14" customWidth="1" min="4" max="4"/>
    <col width="10" customWidth="1" min="5" max="5"/>
    <col width="14" customWidth="1" min="6" max="6"/>
    <col width="16" customWidth="1" min="7" max="7"/>
    <col width="2" customWidth="1" min="8" max="8"/>
  </cols>
  <sheetData>
    <row r="1" ht="46" customHeight="1">
      <c r="A1" s="1" t="inlineStr">
        <is>
          <t xml:space="preserve">  🎯  PAYOFF PLAN</t>
        </is>
      </c>
    </row>
    <row r="2" ht="22" customHeight="1">
      <c r="A2" s="2" t="inlineStr">
        <is>
          <t xml:space="preserve">  Your debts in attack order — the focus debt gets every extra dollar until it's gone.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4" t="inlineStr">
        <is>
          <t>METHOD</t>
        </is>
      </c>
      <c r="D5" s="34">
        <f>Method</f>
        <v/>
      </c>
      <c r="F5" s="35" t="inlineStr">
        <is>
          <t>Focus debt →</t>
        </is>
      </c>
      <c r="G5" s="36">
        <f>INDEX(PlanName,1)</f>
        <v/>
      </c>
    </row>
    <row r="6" ht="30" customHeight="1">
      <c r="B6" s="9" t="inlineStr">
        <is>
          <t>Order</t>
        </is>
      </c>
      <c r="C6" s="9" t="inlineStr">
        <is>
          <t>Debt</t>
        </is>
      </c>
      <c r="D6" s="9" t="inlineStr">
        <is>
          <t>Balance</t>
        </is>
      </c>
      <c r="E6" s="9" t="inlineStr">
        <is>
          <t>APR</t>
        </is>
      </c>
      <c r="F6" s="9" t="inlineStr">
        <is>
          <t>Min</t>
        </is>
      </c>
      <c r="G6" s="9" t="inlineStr">
        <is>
          <t>Projected Payoff</t>
        </is>
      </c>
    </row>
    <row r="7">
      <c r="B7" s="37" t="n">
        <v>1</v>
      </c>
      <c r="C7" s="38" t="inlineStr">
        <is>
          <t>Medical Bill</t>
        </is>
      </c>
      <c r="D7" s="39" t="n">
        <v>1900</v>
      </c>
      <c r="E7" s="40" t="n">
        <v>0</v>
      </c>
      <c r="F7" s="39" t="n">
        <v>90</v>
      </c>
      <c r="G7" s="41" t="n">
        <v>46357</v>
      </c>
    </row>
    <row r="8">
      <c r="B8" s="25" t="n">
        <v>2</v>
      </c>
      <c r="C8" s="23" t="inlineStr">
        <is>
          <t>Store Card</t>
        </is>
      </c>
      <c r="D8" s="42" t="n">
        <v>3200</v>
      </c>
      <c r="E8" s="43" t="n">
        <v>0.2699</v>
      </c>
      <c r="F8" s="42" t="n">
        <v>75</v>
      </c>
      <c r="G8" s="44" t="n">
        <v>46600</v>
      </c>
    </row>
    <row r="9">
      <c r="B9" s="22" t="n">
        <v>3</v>
      </c>
      <c r="C9" s="20" t="inlineStr">
        <is>
          <t>Personal Loan</t>
        </is>
      </c>
      <c r="D9" s="45" t="n">
        <v>6300</v>
      </c>
      <c r="E9" s="46" t="n">
        <v>0.149</v>
      </c>
      <c r="F9" s="45" t="n">
        <v>180</v>
      </c>
      <c r="G9" s="47" t="n">
        <v>46844</v>
      </c>
    </row>
    <row r="10">
      <c r="B10" s="25" t="n">
        <v>4</v>
      </c>
      <c r="C10" s="23" t="inlineStr">
        <is>
          <t>Credit Card A</t>
        </is>
      </c>
      <c r="D10" s="42" t="n">
        <v>9400</v>
      </c>
      <c r="E10" s="43" t="n">
        <v>0.2299</v>
      </c>
      <c r="F10" s="42" t="n">
        <v>235</v>
      </c>
      <c r="G10" s="44" t="n">
        <v>47150</v>
      </c>
    </row>
    <row r="11">
      <c r="B11" s="22" t="n">
        <v>5</v>
      </c>
      <c r="C11" s="20" t="inlineStr">
        <is>
          <t>Car Loan</t>
        </is>
      </c>
      <c r="D11" s="45" t="n">
        <v>12800</v>
      </c>
      <c r="E11" s="46" t="n">
        <v>0.06900000000000001</v>
      </c>
      <c r="F11" s="45" t="n">
        <v>360</v>
      </c>
      <c r="G11" s="47" t="n">
        <v>47239</v>
      </c>
    </row>
    <row r="12">
      <c r="B12" s="25" t="n">
        <v>6</v>
      </c>
      <c r="C12" s="23" t="inlineStr">
        <is>
          <t>Student Loan</t>
        </is>
      </c>
      <c r="D12" s="42" t="n">
        <v>14200</v>
      </c>
      <c r="E12" s="43" t="n">
        <v>0.058</v>
      </c>
      <c r="F12" s="42" t="n">
        <v>165</v>
      </c>
      <c r="G12" s="44" t="n">
        <v>47484</v>
      </c>
    </row>
    <row r="14">
      <c r="B14" s="7" t="inlineStr">
        <is>
          <t>Snowball order shown (smallest balance first).</t>
        </is>
      </c>
      <c r="F14" s="35" t="inlineStr">
        <is>
          <t>Switch method →</t>
        </is>
      </c>
      <c r="G14" s="35" t="inlineStr">
        <is>
          <t>see next tab</t>
        </is>
      </c>
    </row>
  </sheetData>
  <mergeCells count="4">
    <mergeCell ref="B14:C14"/>
    <mergeCell ref="B5:C5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8" customWidth="1" min="4" max="4"/>
    <col width="4" customWidth="1" min="5" max="5"/>
    <col width="20" customWidth="1" min="6" max="6"/>
    <col width="2" customWidth="1" min="7" max="7"/>
  </cols>
  <sheetData>
    <row r="1" ht="46" customHeight="1">
      <c r="A1" s="1" t="inlineStr">
        <is>
          <t xml:space="preserve">  ⚖  SNOWBALL vs AVALANCHE</t>
        </is>
      </c>
    </row>
    <row r="2" ht="22" customHeight="1">
      <c r="A2" s="2" t="inlineStr">
        <is>
          <t xml:space="preserve">  Fastest wins vs least interest — see both, then pick your method with eyes open.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5" ht="30" customHeight="1">
      <c r="B5" s="9" t="inlineStr">
        <is>
          <t>Measure</t>
        </is>
      </c>
      <c r="C5" s="9" t="inlineStr">
        <is>
          <t>Snowball</t>
        </is>
      </c>
      <c r="D5" s="9" t="inlineStr">
        <is>
          <t>Avalanche</t>
        </is>
      </c>
    </row>
    <row r="6">
      <c r="B6" s="20" t="inlineStr">
        <is>
          <t>Months to debt-free</t>
        </is>
      </c>
      <c r="C6" s="48" t="n">
        <v>42</v>
      </c>
      <c r="D6" s="48" t="n">
        <v>41</v>
      </c>
    </row>
    <row r="7">
      <c r="B7" s="23" t="inlineStr">
        <is>
          <t>Debt-free date</t>
        </is>
      </c>
      <c r="C7" s="44" t="n">
        <v>47484</v>
      </c>
      <c r="D7" s="44" t="n">
        <v>47453</v>
      </c>
    </row>
    <row r="8">
      <c r="B8" s="20" t="inlineStr">
        <is>
          <t>Total interest paid</t>
        </is>
      </c>
      <c r="C8" s="45" t="n">
        <v>9908</v>
      </c>
      <c r="D8" s="45" t="n">
        <v>9035</v>
      </c>
    </row>
    <row r="9">
      <c r="B9" s="23" t="inlineStr">
        <is>
          <t>Attack order</t>
        </is>
      </c>
      <c r="C9" s="49" t="inlineStr">
        <is>
          <t>Smallest balance</t>
        </is>
      </c>
      <c r="D9" s="49" t="inlineStr">
        <is>
          <t>Highest rate</t>
        </is>
      </c>
    </row>
    <row r="10">
      <c r="B10" s="20" t="inlineStr">
        <is>
          <t>Best for</t>
        </is>
      </c>
      <c r="C10" s="50" t="inlineStr">
        <is>
          <t>Fast motivation</t>
        </is>
      </c>
      <c r="D10" s="50" t="inlineStr">
        <is>
          <t>Max money saved</t>
        </is>
      </c>
    </row>
    <row r="12">
      <c r="B12" s="4" t="inlineStr">
        <is>
          <t>💰  Avalanche saves you in interest vs snowball</t>
        </is>
      </c>
      <c r="F12" s="51" t="n">
        <v>873</v>
      </c>
    </row>
    <row r="14">
      <c r="B14" s="7" t="inlineStr">
        <is>
          <t>YOUR CHOSEN METHOD (from Settings)</t>
        </is>
      </c>
    </row>
    <row r="15">
      <c r="B15" s="52" t="inlineStr">
        <is>
          <t>Months to debt-free</t>
        </is>
      </c>
      <c r="C15" s="53">
        <f>IF(Method="Avalanche",AvalMonths,SnowMonths)</f>
        <v/>
      </c>
    </row>
    <row r="16">
      <c r="B16" s="52" t="inlineStr">
        <is>
          <t>Total interest</t>
        </is>
      </c>
      <c r="C16" s="54">
        <f>IF(Method="Avalanche",AvalInterest,SnowInterest)</f>
        <v/>
      </c>
    </row>
  </sheetData>
  <mergeCells count="4">
    <mergeCell ref="B12:D12"/>
    <mergeCell ref="A2:F2"/>
    <mergeCell ref="A1:F1"/>
    <mergeCell ref="B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24" customWidth="1" min="3" max="3"/>
    <col width="16" customWidth="1" min="4" max="4"/>
    <col width="14" customWidth="1" min="5" max="5"/>
  </cols>
  <sheetData>
    <row r="1" ht="46" customHeight="1">
      <c r="A1" s="1" t="inlineStr">
        <is>
          <t xml:space="preserve">  🧾  PAYMENT LOG</t>
        </is>
      </c>
    </row>
    <row r="2" ht="22" customHeight="1">
      <c r="A2" s="2" t="inlineStr">
        <is>
          <t xml:space="preserve">  Every payment you make, logged — proof of progress and an on-time streak to protect.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Date</t>
        </is>
      </c>
      <c r="C4" s="9" t="inlineStr">
        <is>
          <t>Debt</t>
        </is>
      </c>
      <c r="D4" s="9" t="inlineStr">
        <is>
          <t>Amount</t>
        </is>
      </c>
      <c r="E4" s="9" t="inlineStr">
        <is>
          <t>On Time</t>
        </is>
      </c>
    </row>
    <row r="5">
      <c r="B5" s="55" t="n">
        <v>46174</v>
      </c>
      <c r="C5" s="56" t="inlineStr">
        <is>
          <t>Store Card</t>
        </is>
      </c>
      <c r="D5" s="57" t="n">
        <v>400</v>
      </c>
      <c r="E5" s="58" t="inlineStr">
        <is>
          <t>Yes</t>
        </is>
      </c>
    </row>
    <row r="6">
      <c r="B6" s="59" t="n">
        <v>46174</v>
      </c>
      <c r="C6" s="23" t="inlineStr">
        <is>
          <t>Personal Loan</t>
        </is>
      </c>
      <c r="D6" s="42" t="n">
        <v>180</v>
      </c>
      <c r="E6" s="25" t="inlineStr">
        <is>
          <t>Yes</t>
        </is>
      </c>
    </row>
    <row r="7">
      <c r="B7" s="55" t="n">
        <v>46144</v>
      </c>
      <c r="C7" s="56" t="inlineStr">
        <is>
          <t>Store Card</t>
        </is>
      </c>
      <c r="D7" s="57" t="n">
        <v>400</v>
      </c>
      <c r="E7" s="58" t="inlineStr">
        <is>
          <t>Yes</t>
        </is>
      </c>
    </row>
    <row r="8">
      <c r="B8" s="59" t="n">
        <v>46144</v>
      </c>
      <c r="C8" s="23" t="inlineStr">
        <is>
          <t>Student Loan</t>
        </is>
      </c>
      <c r="D8" s="42" t="n">
        <v>195</v>
      </c>
      <c r="E8" s="25" t="inlineStr">
        <is>
          <t>No</t>
        </is>
      </c>
    </row>
    <row r="9">
      <c r="B9" s="55" t="n">
        <v>46114</v>
      </c>
      <c r="C9" s="56" t="inlineStr">
        <is>
          <t>Store Card</t>
        </is>
      </c>
      <c r="D9" s="57" t="n">
        <v>345</v>
      </c>
      <c r="E9" s="58" t="inlineStr">
        <is>
          <t>Yes</t>
        </is>
      </c>
    </row>
    <row r="10">
      <c r="B10" s="59" t="n">
        <v>46114</v>
      </c>
      <c r="C10" s="23" t="inlineStr">
        <is>
          <t>Car Loan</t>
        </is>
      </c>
      <c r="D10" s="42" t="n">
        <v>320</v>
      </c>
      <c r="E10" s="25" t="inlineStr">
        <is>
          <t>Yes</t>
        </is>
      </c>
    </row>
    <row r="11">
      <c r="B11" s="55" t="n">
        <v>46084</v>
      </c>
      <c r="C11" s="56" t="inlineStr">
        <is>
          <t>Store Card</t>
        </is>
      </c>
      <c r="D11" s="57" t="n">
        <v>345</v>
      </c>
      <c r="E11" s="58" t="inlineStr">
        <is>
          <t>Yes</t>
        </is>
      </c>
    </row>
    <row r="12">
      <c r="B12" s="59" t="n">
        <v>46084</v>
      </c>
      <c r="C12" s="23" t="inlineStr">
        <is>
          <t>Credit Card A</t>
        </is>
      </c>
      <c r="D12" s="42" t="n">
        <v>105</v>
      </c>
      <c r="E12" s="25" t="inlineStr">
        <is>
          <t>Yes</t>
        </is>
      </c>
    </row>
    <row r="13">
      <c r="B13" s="55" t="n">
        <v>46054</v>
      </c>
      <c r="C13" s="56" t="inlineStr">
        <is>
          <t>Store Card</t>
        </is>
      </c>
      <c r="D13" s="57" t="n">
        <v>345</v>
      </c>
      <c r="E13" s="58" t="inlineStr">
        <is>
          <t>Yes</t>
        </is>
      </c>
    </row>
    <row r="14">
      <c r="B14" s="59" t="n">
        <v>46054</v>
      </c>
      <c r="C14" s="23" t="inlineStr">
        <is>
          <t>Medical Bill</t>
        </is>
      </c>
      <c r="D14" s="42" t="n">
        <v>100</v>
      </c>
      <c r="E14" s="25" t="inlineStr">
        <is>
          <t>Yes</t>
        </is>
      </c>
    </row>
    <row r="15">
      <c r="B15" s="55" t="n"/>
      <c r="C15" s="56" t="n"/>
      <c r="D15" s="57" t="n"/>
      <c r="E15" s="58" t="n"/>
    </row>
    <row r="16">
      <c r="B16" s="59" t="n"/>
      <c r="C16" s="23" t="n"/>
      <c r="D16" s="42" t="n"/>
      <c r="E16" s="25" t="n"/>
    </row>
    <row r="17">
      <c r="B17" s="55" t="n"/>
      <c r="C17" s="56" t="n"/>
      <c r="D17" s="57" t="n"/>
      <c r="E17" s="58" t="n"/>
    </row>
    <row r="18">
      <c r="B18" s="59" t="n"/>
      <c r="C18" s="23" t="n"/>
      <c r="D18" s="42" t="n"/>
      <c r="E18" s="25" t="n"/>
    </row>
    <row r="19">
      <c r="B19" s="55" t="n"/>
      <c r="C19" s="56" t="n"/>
      <c r="D19" s="57" t="n"/>
      <c r="E19" s="58" t="n"/>
    </row>
    <row r="20">
      <c r="B20" s="59" t="n"/>
      <c r="C20" s="23" t="n"/>
      <c r="D20" s="42" t="n"/>
      <c r="E20" s="25" t="n"/>
    </row>
    <row r="21">
      <c r="B21" s="55" t="n"/>
      <c r="C21" s="56" t="n"/>
      <c r="D21" s="57" t="n"/>
      <c r="E21" s="58" t="n"/>
    </row>
    <row r="22">
      <c r="B22" s="59" t="n"/>
      <c r="C22" s="23" t="n"/>
      <c r="D22" s="42" t="n"/>
      <c r="E22" s="25" t="n"/>
    </row>
    <row r="23">
      <c r="B23" s="55" t="n"/>
      <c r="C23" s="56" t="n"/>
      <c r="D23" s="57" t="n"/>
      <c r="E23" s="58" t="n"/>
    </row>
    <row r="24">
      <c r="B24" s="59" t="n"/>
      <c r="C24" s="23" t="n"/>
      <c r="D24" s="42" t="n"/>
      <c r="E24" s="25" t="n"/>
    </row>
    <row r="25">
      <c r="B25" s="55" t="n"/>
      <c r="C25" s="56" t="n"/>
      <c r="D25" s="57" t="n"/>
      <c r="E25" s="58" t="n"/>
    </row>
    <row r="26">
      <c r="B26" s="59" t="n"/>
      <c r="C26" s="23" t="n"/>
      <c r="D26" s="42" t="n"/>
      <c r="E26" s="25" t="n"/>
    </row>
    <row r="27">
      <c r="B27" s="55" t="n"/>
      <c r="C27" s="56" t="n"/>
      <c r="D27" s="57" t="n"/>
      <c r="E27" s="58" t="n"/>
    </row>
    <row r="28">
      <c r="B28" s="59" t="n"/>
      <c r="C28" s="23" t="n"/>
      <c r="D28" s="42" t="n"/>
      <c r="E28" s="25" t="n"/>
    </row>
    <row r="29">
      <c r="B29" s="55" t="n"/>
      <c r="C29" s="56" t="n"/>
      <c r="D29" s="57" t="n"/>
      <c r="E29" s="58" t="n"/>
    </row>
    <row r="30">
      <c r="B30" s="59" t="n"/>
      <c r="C30" s="23" t="n"/>
      <c r="D30" s="42" t="n"/>
      <c r="E30" s="25" t="n"/>
    </row>
    <row r="31">
      <c r="B31" s="55" t="n"/>
      <c r="C31" s="56" t="n"/>
      <c r="D31" s="57" t="n"/>
      <c r="E31" s="58" t="n"/>
    </row>
    <row r="32">
      <c r="B32" s="59" t="n"/>
      <c r="C32" s="23" t="n"/>
      <c r="D32" s="42" t="n"/>
      <c r="E32" s="25" t="n"/>
    </row>
    <row r="33">
      <c r="B33" s="55" t="n"/>
      <c r="C33" s="56" t="n"/>
      <c r="D33" s="57" t="n"/>
      <c r="E33" s="58" t="n"/>
    </row>
    <row r="34">
      <c r="B34" s="59" t="n"/>
      <c r="C34" s="23" t="n"/>
      <c r="D34" s="42" t="n"/>
      <c r="E34" s="25" t="n"/>
    </row>
    <row r="35">
      <c r="B35" s="55" t="n"/>
      <c r="C35" s="56" t="n"/>
      <c r="D35" s="57" t="n"/>
      <c r="E35" s="58" t="n"/>
    </row>
    <row r="36">
      <c r="B36" s="59" t="n"/>
      <c r="C36" s="23" t="n"/>
      <c r="D36" s="42" t="n"/>
      <c r="E36" s="25" t="n"/>
    </row>
    <row r="37">
      <c r="B37" s="55" t="n"/>
      <c r="C37" s="56" t="n"/>
      <c r="D37" s="57" t="n"/>
      <c r="E37" s="58" t="n"/>
    </row>
    <row r="38">
      <c r="B38" s="59" t="n"/>
      <c r="C38" s="23" t="n"/>
      <c r="D38" s="42" t="n"/>
      <c r="E38" s="25" t="n"/>
    </row>
    <row r="39">
      <c r="B39" s="55" t="n"/>
      <c r="C39" s="56" t="n"/>
      <c r="D39" s="57" t="n"/>
      <c r="E39" s="58" t="n"/>
    </row>
    <row r="40">
      <c r="B40" s="59" t="n"/>
      <c r="C40" s="23" t="n"/>
      <c r="D40" s="42" t="n"/>
      <c r="E40" s="25" t="n"/>
    </row>
    <row r="41">
      <c r="B41" s="55" t="n"/>
      <c r="C41" s="56" t="n"/>
      <c r="D41" s="57" t="n"/>
      <c r="E41" s="58" t="n"/>
    </row>
    <row r="42">
      <c r="B42" s="59" t="n"/>
      <c r="C42" s="23" t="n"/>
      <c r="D42" s="42" t="n"/>
      <c r="E42" s="25" t="n"/>
    </row>
    <row r="43">
      <c r="B43" s="55" t="n"/>
      <c r="C43" s="56" t="n"/>
      <c r="D43" s="57" t="n"/>
      <c r="E43" s="58" t="n"/>
    </row>
    <row r="44">
      <c r="B44" s="59" t="n"/>
      <c r="C44" s="23" t="n"/>
      <c r="D44" s="42" t="n"/>
      <c r="E44" s="25" t="n"/>
    </row>
    <row r="45">
      <c r="B45" s="55" t="n"/>
      <c r="C45" s="56" t="n"/>
      <c r="D45" s="57" t="n"/>
      <c r="E45" s="58" t="n"/>
    </row>
    <row r="46">
      <c r="B46" s="59" t="n"/>
      <c r="C46" s="23" t="n"/>
      <c r="D46" s="42" t="n"/>
      <c r="E46" s="25" t="n"/>
    </row>
    <row r="47">
      <c r="B47" s="55" t="n"/>
      <c r="C47" s="56" t="n"/>
      <c r="D47" s="57" t="n"/>
      <c r="E47" s="58" t="n"/>
    </row>
    <row r="48">
      <c r="B48" s="59" t="n"/>
      <c r="C48" s="23" t="n"/>
      <c r="D48" s="42" t="n"/>
      <c r="E48" s="25" t="n"/>
    </row>
    <row r="49">
      <c r="B49" s="55" t="n"/>
      <c r="C49" s="56" t="n"/>
      <c r="D49" s="57" t="n"/>
      <c r="E49" s="58" t="n"/>
    </row>
    <row r="50">
      <c r="B50" s="59" t="n"/>
      <c r="C50" s="23" t="n"/>
      <c r="D50" s="42" t="n"/>
      <c r="E50" s="25" t="n"/>
    </row>
    <row r="51">
      <c r="B51" s="55" t="n"/>
      <c r="C51" s="56" t="n"/>
      <c r="D51" s="57" t="n"/>
      <c r="E51" s="58" t="n"/>
    </row>
    <row r="52">
      <c r="B52" s="59" t="n"/>
      <c r="C52" s="23" t="n"/>
      <c r="D52" s="42" t="n"/>
      <c r="E52" s="25" t="n"/>
    </row>
    <row r="53">
      <c r="B53" s="9" t="inlineStr">
        <is>
          <t>TOTAL PAID</t>
        </is>
      </c>
      <c r="C53" s="30" t="n"/>
      <c r="D53" s="32">
        <f>SUM(PayAmount)</f>
        <v/>
      </c>
      <c r="E53" s="30" t="n"/>
    </row>
  </sheetData>
  <mergeCells count="2">
    <mergeCell ref="A2:E2"/>
    <mergeCell ref="A1:E1"/>
  </mergeCells>
  <conditionalFormatting sqref="E5:E5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2">
    <dataValidation sqref="C5:C52" showDropDown="0" showInputMessage="0" showErrorMessage="0" allowBlank="1" type="list">
      <formula1>=DebtName</formula1>
    </dataValidation>
    <dataValidation sqref="E5:E52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2" customWidth="1" min="5" max="5"/>
  </cols>
  <sheetData>
    <row r="1" ht="46" customHeight="1">
      <c r="A1" s="1" t="inlineStr">
        <is>
          <t xml:space="preserve">  📉  BALANCE HISTORY</t>
        </is>
      </c>
    </row>
    <row r="2" ht="22" customHeight="1">
      <c r="A2" s="2" t="inlineStr">
        <is>
          <t xml:space="preserve">  Log your total balance each month — the falling line is the best chart in personal finance.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Month</t>
        </is>
      </c>
      <c r="C4" s="9" t="inlineStr">
        <is>
          <t>Total Balance</t>
        </is>
      </c>
      <c r="D4" s="9" t="inlineStr">
        <is>
          <t>Paid Down</t>
        </is>
      </c>
    </row>
    <row r="5">
      <c r="B5" s="20" t="inlineStr">
        <is>
          <t>5 mo ago</t>
        </is>
      </c>
      <c r="C5" s="26" t="n">
        <v>66000</v>
      </c>
      <c r="D5" s="45" t="n">
        <v>0</v>
      </c>
    </row>
    <row r="6">
      <c r="B6" s="23" t="inlineStr">
        <is>
          <t>4 mo ago</t>
        </is>
      </c>
      <c r="C6" s="28" t="n">
        <v>62800</v>
      </c>
      <c r="D6" s="42">
        <f>IF(C5="",0,C5-C6)</f>
        <v/>
      </c>
    </row>
    <row r="7">
      <c r="B7" s="20" t="inlineStr">
        <is>
          <t>3 mo ago</t>
        </is>
      </c>
      <c r="C7" s="26" t="n">
        <v>58900</v>
      </c>
      <c r="D7" s="45">
        <f>IF(C6="",0,C6-C7)</f>
        <v/>
      </c>
    </row>
    <row r="8">
      <c r="B8" s="23" t="inlineStr">
        <is>
          <t>2 mo ago</t>
        </is>
      </c>
      <c r="C8" s="28" t="n">
        <v>55000</v>
      </c>
      <c r="D8" s="42">
        <f>IF(C7="",0,C7-C8)</f>
        <v/>
      </c>
    </row>
    <row r="9">
      <c r="B9" s="20" t="inlineStr">
        <is>
          <t>Last mo</t>
        </is>
      </c>
      <c r="C9" s="26" t="n">
        <v>51800</v>
      </c>
      <c r="D9" s="45">
        <f>IF(C8="",0,C8-C9)</f>
        <v/>
      </c>
    </row>
    <row r="10">
      <c r="B10" s="23" t="inlineStr">
        <is>
          <t>This mo</t>
        </is>
      </c>
      <c r="C10" s="28" t="n">
        <v>47800</v>
      </c>
      <c r="D10" s="42">
        <f>IF(C9="",0,C9-C10)</f>
        <v/>
      </c>
    </row>
    <row r="11">
      <c r="B11" s="20" t="inlineStr">
        <is>
          <t>in 6 mo</t>
        </is>
      </c>
      <c r="C11" s="60" t="n">
        <v>42136</v>
      </c>
      <c r="D11" s="61" t="inlineStr">
        <is>
          <t>projected</t>
        </is>
      </c>
    </row>
    <row r="12">
      <c r="B12" s="20" t="inlineStr">
        <is>
          <t>in 12 mo</t>
        </is>
      </c>
      <c r="C12" s="60" t="n">
        <v>36103</v>
      </c>
      <c r="D12" s="61" t="inlineStr">
        <is>
          <t>projected</t>
        </is>
      </c>
    </row>
    <row r="13">
      <c r="B13" s="20" t="inlineStr">
        <is>
          <t>in 18 mo</t>
        </is>
      </c>
      <c r="C13" s="60" t="n">
        <v>29588</v>
      </c>
      <c r="D13" s="61" t="inlineStr">
        <is>
          <t>projected</t>
        </is>
      </c>
    </row>
    <row r="14">
      <c r="B14" s="20" t="inlineStr">
        <is>
          <t>in 24 mo</t>
        </is>
      </c>
      <c r="C14" s="60" t="n">
        <v>22640</v>
      </c>
      <c r="D14" s="61" t="inlineStr">
        <is>
          <t>projected</t>
        </is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</cols>
  <sheetData>
    <row r="1" ht="46" customHeight="1">
      <c r="A1" s="1" t="inlineStr">
        <is>
          <t xml:space="preserve">  🔍  EXTRA-PAYMENT FINDER</t>
        </is>
      </c>
    </row>
    <row r="2" ht="22" customHeight="1">
      <c r="A2" s="2" t="inlineStr">
        <is>
          <t xml:space="preserve">  Find money hiding in your month — every dollar here becomes attack power on your focus debt.</t>
        </is>
      </c>
    </row>
    <row r="3" ht="6" customHeight="1">
      <c r="A3" s="3" t="n"/>
      <c r="B3" s="3" t="n"/>
      <c r="C3" s="3" t="n"/>
    </row>
    <row r="4" ht="30" customHeight="1">
      <c r="B4" s="9" t="inlineStr">
        <is>
          <t>Source</t>
        </is>
      </c>
      <c r="C4" s="9" t="inlineStr">
        <is>
          <t>Monthly Found</t>
        </is>
      </c>
    </row>
    <row r="5">
      <c r="B5" s="56" t="inlineStr">
        <is>
          <t>Cancel unused streaming</t>
        </is>
      </c>
      <c r="C5" s="57" t="n">
        <v>25</v>
      </c>
    </row>
    <row r="6">
      <c r="B6" s="23" t="inlineStr">
        <is>
          <t>Pack lunch 3x/week</t>
        </is>
      </c>
      <c r="C6" s="42" t="n">
        <v>60</v>
      </c>
    </row>
    <row r="7">
      <c r="B7" s="56" t="inlineStr">
        <is>
          <t>Sell unused gear</t>
        </is>
      </c>
      <c r="C7" s="57" t="n">
        <v>40</v>
      </c>
    </row>
    <row r="8">
      <c r="B8" s="23" t="inlineStr">
        <is>
          <t>Side gig — weekends</t>
        </is>
      </c>
      <c r="C8" s="42" t="n">
        <v>120</v>
      </c>
    </row>
    <row r="9">
      <c r="B9" s="56" t="inlineStr">
        <is>
          <t>Cut one subscription</t>
        </is>
      </c>
      <c r="C9" s="57" t="n">
        <v>15</v>
      </c>
    </row>
    <row r="10">
      <c r="B10" s="23" t="inlineStr">
        <is>
          <t>Round-up savings</t>
        </is>
      </c>
      <c r="C10" s="42" t="n">
        <v>40</v>
      </c>
    </row>
    <row r="11">
      <c r="B11" s="56" t="n"/>
      <c r="C11" s="57" t="n"/>
    </row>
    <row r="12">
      <c r="B12" s="23" t="n"/>
      <c r="C12" s="42" t="n"/>
    </row>
    <row r="13">
      <c r="B13" s="56" t="n"/>
      <c r="C13" s="57" t="n"/>
    </row>
    <row r="14">
      <c r="B14" s="23" t="n"/>
      <c r="C14" s="42" t="n"/>
    </row>
    <row r="15">
      <c r="B15" s="56" t="n"/>
      <c r="C15" s="57" t="n"/>
    </row>
    <row r="16">
      <c r="B16" s="23" t="n"/>
      <c r="C16" s="42" t="n"/>
    </row>
    <row r="17">
      <c r="B17" s="56" t="n"/>
      <c r="C17" s="57" t="n"/>
    </row>
    <row r="18">
      <c r="B18" s="23" t="n"/>
      <c r="C18" s="42" t="n"/>
    </row>
    <row r="19">
      <c r="B19" s="56" t="n"/>
      <c r="C19" s="57" t="n"/>
    </row>
    <row r="20">
      <c r="B20" s="23" t="n"/>
      <c r="C20" s="42" t="n"/>
    </row>
    <row r="21">
      <c r="B21" s="56" t="n"/>
      <c r="C21" s="57" t="n"/>
    </row>
    <row r="22">
      <c r="B22" s="23" t="n"/>
      <c r="C22" s="42" t="n"/>
    </row>
    <row r="23">
      <c r="B23" s="56" t="n"/>
      <c r="C23" s="57" t="n"/>
    </row>
    <row r="24">
      <c r="B24" s="23" t="n"/>
      <c r="C24" s="42" t="n"/>
    </row>
    <row r="25">
      <c r="B25" s="9" t="inlineStr">
        <is>
          <t>FOUND MONEY / MO</t>
        </is>
      </c>
      <c r="C25" s="32">
        <f>SUM(FoundAmount)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</cols>
  <sheetData>
    <row r="1" ht="46" customHeight="1">
      <c r="A1" s="1" t="inlineStr">
        <is>
          <t xml:space="preserve">  🏆  MILESTONES</t>
        </is>
      </c>
    </row>
    <row r="2" ht="22" customHeight="1">
      <c r="A2" s="2" t="inlineStr">
        <is>
          <t xml:space="preserve">  Debt payoff is a long road — mark every win. Momentum, not perfection, gets you to $0.</t>
        </is>
      </c>
    </row>
    <row r="3" ht="6" customHeight="1">
      <c r="A3" s="3" t="n"/>
      <c r="B3" s="3" t="n"/>
      <c r="C3" s="3" t="n"/>
    </row>
    <row r="4" ht="30" customHeight="1">
      <c r="B4" s="9" t="inlineStr">
        <is>
          <t>Milestone</t>
        </is>
      </c>
      <c r="C4" s="9" t="inlineStr">
        <is>
          <t>Done</t>
        </is>
      </c>
    </row>
    <row r="5">
      <c r="B5" s="56" t="inlineStr">
        <is>
          <t>$1,000 starter emergency fund</t>
        </is>
      </c>
      <c r="C5" s="58" t="inlineStr">
        <is>
          <t>Yes</t>
        </is>
      </c>
    </row>
    <row r="6">
      <c r="B6" s="23" t="inlineStr">
        <is>
          <t>First debt paid off</t>
        </is>
      </c>
      <c r="C6" s="25" t="inlineStr">
        <is>
          <t>No</t>
        </is>
      </c>
    </row>
    <row r="7">
      <c r="B7" s="56" t="inlineStr">
        <is>
          <t>Half of a debt gone</t>
        </is>
      </c>
      <c r="C7" s="58" t="inlineStr">
        <is>
          <t>Yes</t>
        </is>
      </c>
    </row>
    <row r="8">
      <c r="B8" s="23" t="inlineStr">
        <is>
          <t>Under $40,000 total</t>
        </is>
      </c>
      <c r="C8" s="25" t="inlineStr">
        <is>
          <t>No</t>
        </is>
      </c>
    </row>
    <row r="9">
      <c r="B9" s="56" t="inlineStr">
        <is>
          <t>Highest-rate card cleared</t>
        </is>
      </c>
      <c r="C9" s="58" t="inlineStr">
        <is>
          <t>No</t>
        </is>
      </c>
    </row>
    <row r="10">
      <c r="B10" s="23" t="inlineStr">
        <is>
          <t>50% of all debt paid</t>
        </is>
      </c>
      <c r="C10" s="25" t="inlineStr">
        <is>
          <t>No</t>
        </is>
      </c>
    </row>
    <row r="11">
      <c r="B11" s="56" t="inlineStr">
        <is>
          <t>Down to one debt</t>
        </is>
      </c>
      <c r="C11" s="58" t="inlineStr">
        <is>
          <t>No</t>
        </is>
      </c>
    </row>
    <row r="12">
      <c r="B12" s="23" t="inlineStr">
        <is>
          <t>DEBT FREE</t>
        </is>
      </c>
      <c r="C12" s="25" t="inlineStr">
        <is>
          <t>No</t>
        </is>
      </c>
    </row>
    <row r="13">
      <c r="B13" s="56" t="n"/>
      <c r="C13" s="58" t="n"/>
    </row>
    <row r="14">
      <c r="B14" s="23" t="n"/>
      <c r="C14" s="25" t="n"/>
    </row>
    <row r="15">
      <c r="B15" s="56" t="n"/>
      <c r="C15" s="58" t="n"/>
    </row>
    <row r="16">
      <c r="B16" s="23" t="n"/>
      <c r="C16" s="25" t="n"/>
    </row>
    <row r="17">
      <c r="B17" s="56" t="n"/>
      <c r="C17" s="58" t="n"/>
    </row>
    <row r="18">
      <c r="B18" s="23" t="n"/>
      <c r="C18" s="25" t="n"/>
    </row>
    <row r="19">
      <c r="B19" s="56" t="n"/>
      <c r="C19" s="58" t="n"/>
    </row>
    <row r="20">
      <c r="B20" s="23" t="n"/>
      <c r="C20" s="25" t="n"/>
    </row>
    <row r="22">
      <c r="B22" s="52" t="inlineStr">
        <is>
          <t>Wins so far</t>
        </is>
      </c>
      <c r="C22" s="62">
        <f>COUNTIF(MilestoneDone,"Yes")&amp;" of "&amp;COUNTA(MilestoneDone)</f>
        <v/>
      </c>
    </row>
  </sheetData>
  <mergeCells count="2">
    <mergeCell ref="A1:C1"/>
    <mergeCell ref="A2:C2"/>
  </mergeCells>
  <conditionalFormatting sqref="C5:C20">
    <cfRule type="cellIs" priority="1" operator="equal" dxfId="0">
      <formula>"Yes"</formula>
    </cfRule>
  </conditionalFormatting>
  <dataValidations count="1">
    <dataValidation sqref="C5:C20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4" customWidth="1" min="4" max="4"/>
    <col width="30" customWidth="1" min="5" max="5"/>
    <col width="18" customWidth="1" min="6" max="6"/>
    <col width="2" customWidth="1" min="7" max="7"/>
  </cols>
  <sheetData>
    <row r="1" ht="46" customHeight="1">
      <c r="A1" s="1" t="inlineStr">
        <is>
          <t xml:space="preserve">  💸  INTEREST TRACKER</t>
        </is>
      </c>
    </row>
    <row r="2" ht="22" customHeight="1">
      <c r="A2" s="2" t="inlineStr">
        <is>
          <t xml:space="preserve">  What interest is costing you — and how much the right method saves. Motivation, quantified.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5">
      <c r="B5" s="4" t="inlineStr">
        <is>
          <t>PROJECTED INTEREST</t>
        </is>
      </c>
      <c r="E5" s="4" t="inlineStr">
        <is>
          <t>IF YOU DO NOTHING</t>
        </is>
      </c>
    </row>
    <row r="6">
      <c r="B6" s="20" t="inlineStr">
        <is>
          <t>Snowball total interest</t>
        </is>
      </c>
      <c r="C6" s="26" t="n">
        <v>9908</v>
      </c>
      <c r="E6" s="20" t="inlineStr">
        <is>
          <t>Minimums-only interest</t>
        </is>
      </c>
      <c r="F6" s="26" t="n">
        <v>24010</v>
      </c>
    </row>
    <row r="7">
      <c r="B7" s="20" t="inlineStr">
        <is>
          <t>Avalanche total interest</t>
        </is>
      </c>
      <c r="C7" s="26" t="n">
        <v>9035</v>
      </c>
      <c r="E7" s="20" t="inlineStr">
        <is>
          <t>Your plan's interest</t>
        </is>
      </c>
      <c r="F7" s="26" t="n">
        <v>9908</v>
      </c>
    </row>
    <row r="8">
      <c r="B8" s="20" t="inlineStr">
        <is>
          <t>You save (avalanche)</t>
        </is>
      </c>
      <c r="C8" s="63" t="n">
        <v>873</v>
      </c>
      <c r="E8" s="20" t="inlineStr">
        <is>
          <t>Extra payment saves</t>
        </is>
      </c>
      <c r="F8" s="63" t="n">
        <v>14102</v>
      </c>
    </row>
    <row r="10">
      <c r="B10" s="7" t="inlineStr">
        <is>
          <t>Every extra $1 you throw at the focus debt is interest you never pay.</t>
        </is>
      </c>
    </row>
  </sheetData>
  <mergeCells count="4">
    <mergeCell ref="A2:F2"/>
    <mergeCell ref="E5:F5"/>
    <mergeCell ref="B5:C5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🚀  ACCELERATORS</t>
        </is>
      </c>
    </row>
    <row r="2" ht="22" customHeight="1">
      <c r="A2" s="2" t="inlineStr">
        <is>
          <t xml:space="preserve">  Turn extra habits on to shave months off — flip 'On' and watch the payoff date move.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Accelerator</t>
        </is>
      </c>
      <c r="C4" s="9" t="inlineStr">
        <is>
          <t>Monthly Boost</t>
        </is>
      </c>
      <c r="D4" s="9" t="inlineStr">
        <is>
          <t>On?</t>
        </is>
      </c>
    </row>
    <row r="5">
      <c r="B5" s="20" t="inlineStr">
        <is>
          <t>No-spend weekends</t>
        </is>
      </c>
      <c r="C5" s="26" t="n">
        <v>80</v>
      </c>
      <c r="D5" s="64" t="inlineStr">
        <is>
          <t>Yes</t>
        </is>
      </c>
    </row>
    <row r="6">
      <c r="B6" s="23" t="inlineStr">
        <is>
          <t>Sell one thing a month</t>
        </is>
      </c>
      <c r="C6" s="28" t="n">
        <v>50</v>
      </c>
      <c r="D6" s="65" t="inlineStr">
        <is>
          <t>Yes</t>
        </is>
      </c>
    </row>
    <row r="7">
      <c r="B7" s="20" t="inlineStr">
        <is>
          <t>Overtime / side income</t>
        </is>
      </c>
      <c r="C7" s="26" t="n">
        <v>150</v>
      </c>
      <c r="D7" s="64" t="inlineStr">
        <is>
          <t>No</t>
        </is>
      </c>
    </row>
    <row r="8">
      <c r="B8" s="23" t="inlineStr">
        <is>
          <t>Cashback to debt</t>
        </is>
      </c>
      <c r="C8" s="28" t="n">
        <v>25</v>
      </c>
      <c r="D8" s="65" t="inlineStr">
        <is>
          <t>Yes</t>
        </is>
      </c>
    </row>
    <row r="9">
      <c r="B9" s="20" t="inlineStr">
        <is>
          <t>Tax refund lump sum</t>
        </is>
      </c>
      <c r="C9" s="26" t="n">
        <v>0</v>
      </c>
      <c r="D9" s="64" t="inlineStr">
        <is>
          <t>No</t>
        </is>
      </c>
    </row>
    <row r="10">
      <c r="B10" s="9" t="inlineStr">
        <is>
          <t>ACTIVE BOOST / MO</t>
        </is>
      </c>
      <c r="C10" s="32">
        <f>SUMIF(AccelOn,"Yes",AccelBoost)</f>
        <v/>
      </c>
      <c r="D10" s="30" t="n"/>
    </row>
  </sheetData>
  <mergeCells count="2">
    <mergeCell ref="A1:D1"/>
    <mergeCell ref="A2:D2"/>
  </mergeCells>
  <conditionalFormatting sqref="D5:D9">
    <cfRule type="cellIs" priority="1" operator="equal" dxfId="0">
      <formula>"Yes"</formula>
    </cfRule>
  </conditionalFormatting>
  <dataValidations count="5">
    <dataValidation sqref="D5" showDropDown="0" showInputMessage="0" showErrorMessage="0" allowBlank="1" type="list">
      <formula1>=YesNoList</formula1>
    </dataValidation>
    <dataValidation sqref="D6" showDropDown="0" showInputMessage="0" showErrorMessage="0" allowBlank="1" type="list">
      <formula1>=YesNoList</formula1>
    </dataValidation>
    <dataValidation sqref="D7" showDropDown="0" showInputMessage="0" showErrorMessage="0" allowBlank="1" type="list">
      <formula1>=YesNoList</formula1>
    </dataValidation>
    <dataValidation sqref="D8" showDropDown="0" showInputMessage="0" showErrorMessage="0" allowBlank="1" type="list">
      <formula1>=YesNoList</formula1>
    </dataValidation>
    <dataValidation sqref="D9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details, method &amp; extra payment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PLAN</t>
        </is>
      </c>
      <c r="E5" s="4" t="inlineStr">
        <is>
          <t>DROPDOWN LISTS</t>
        </is>
      </c>
    </row>
    <row r="6">
      <c r="B6" s="52" t="inlineStr">
        <is>
          <t>Name / Household</t>
        </is>
      </c>
      <c r="C6" s="64" t="inlineStr">
        <is>
          <t>The Bennett Household</t>
        </is>
      </c>
      <c r="E6" s="9" t="inlineStr">
        <is>
          <t>Debt Type</t>
        </is>
      </c>
      <c r="F6" s="9" t="inlineStr">
        <is>
          <t>Yes / No</t>
        </is>
      </c>
      <c r="G6" s="9" t="inlineStr">
        <is>
          <t>Method</t>
        </is>
      </c>
    </row>
    <row r="7">
      <c r="B7" s="52" t="inlineStr">
        <is>
          <t>Payoff Method</t>
        </is>
      </c>
      <c r="C7" s="64" t="inlineStr">
        <is>
          <t>Snowball</t>
        </is>
      </c>
      <c r="E7" s="20" t="inlineStr">
        <is>
          <t>Credit Card</t>
        </is>
      </c>
      <c r="F7" s="20" t="inlineStr">
        <is>
          <t>Yes</t>
        </is>
      </c>
      <c r="G7" s="20" t="inlineStr">
        <is>
          <t>Snowball</t>
        </is>
      </c>
    </row>
    <row r="8">
      <c r="B8" s="52" t="inlineStr">
        <is>
          <t>Extra Monthly Payment</t>
        </is>
      </c>
      <c r="C8" s="26" t="n">
        <v>300</v>
      </c>
      <c r="E8" s="20" t="inlineStr">
        <is>
          <t>Auto</t>
        </is>
      </c>
      <c r="F8" s="20" t="inlineStr">
        <is>
          <t>No</t>
        </is>
      </c>
      <c r="G8" s="20" t="inlineStr">
        <is>
          <t>Avalanche</t>
        </is>
      </c>
    </row>
    <row r="9">
      <c r="B9" s="52" t="inlineStr">
        <is>
          <t>Extra-Payment Target</t>
        </is>
      </c>
      <c r="C9" s="26" t="n">
        <v>300</v>
      </c>
      <c r="E9" s="20" t="inlineStr">
        <is>
          <t>Student</t>
        </is>
      </c>
    </row>
    <row r="10">
      <c r="B10" s="52" t="inlineStr">
        <is>
          <t>Starter Emergency Fund</t>
        </is>
      </c>
      <c r="C10" s="26" t="n">
        <v>1000</v>
      </c>
      <c r="E10" s="20" t="inlineStr">
        <is>
          <t>Medical</t>
        </is>
      </c>
    </row>
    <row r="11">
      <c r="B11" s="52" t="inlineStr">
        <is>
          <t>Emergency Saved</t>
        </is>
      </c>
      <c r="C11" s="26" t="n">
        <v>1000</v>
      </c>
      <c r="E11" s="20" t="inlineStr">
        <is>
          <t>Personal</t>
        </is>
      </c>
    </row>
    <row r="12">
      <c r="E12" s="20" t="inlineStr">
        <is>
          <t>Mortgage</t>
        </is>
      </c>
    </row>
    <row r="13">
      <c r="E13" s="20" t="inlineStr">
        <is>
          <t>Other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2026-07-21T08:13:54Z</dcterms:created>
  <dcterms:modified xsi:type="dcterms:W3CDTF">2026-07-21T08:13:54Z</dcterms:modified>
</cp:coreProperties>
</file>