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Event Pricing" sheetId="3" state="visible" r:id="rId3"/>
    <sheet name="Service Menu" sheetId="4" state="visible" r:id="rId4"/>
    <sheet name="Dish Costing" sheetId="5" state="visible" r:id="rId5"/>
    <sheet name="Clients" sheetId="6" state="visible" r:id="rId6"/>
    <sheet name="Booking Calendar" sheetId="7" state="visible" r:id="rId7"/>
    <sheet name="Grocery List" sheetId="8" state="visible" r:id="rId8"/>
    <sheet name="Kitchen Kit" sheetId="9" state="visible" r:id="rId9"/>
    <sheet name="Mileage &amp; Travel" sheetId="10" state="visible" r:id="rId10"/>
    <sheet name="Waste Log" sheetId="11" state="visible" r:id="rId11"/>
    <sheet name="Income &amp; Expenses" sheetId="12" state="visible" r:id="rId12"/>
    <sheet name="Monthly Summary" sheetId="13" state="visible" r:id="rId13"/>
    <sheet name="Settings" sheetId="14" state="visible" r:id="rId14"/>
  </sheets>
  <definedNames>
    <definedName name="Business">Settings!$C$6</definedName>
    <definedName name="Owner">Settings!$C$7</definedName>
    <definedName name="TargetFC">Settings!$C$8</definedName>
    <definedName name="MarginGoal">Settings!$C$9</definedName>
    <definedName name="ClientGoal">Settings!$C$10</definedName>
    <definedName name="ProfitGoal">Settings!$C$11</definedName>
    <definedName name="WasteLimit">Settings!$C$12</definedName>
    <definedName name="MileRate">Settings!$C$13</definedName>
    <definedName name="Currency">Settings!$C$14</definedName>
    <definedName name="BasisList">Settings!$E$7:$E$9</definedName>
    <definedName name="ServiceList">Settings!$F$7:$F$12</definedName>
    <definedName name="StatusList">Settings!$G$7:$G$11</definedName>
    <definedName name="YesNoList">Settings!$H$7:$H$8</definedName>
    <definedName name="Guests">'Event Pricing'!$C$6</definedName>
    <definedName name="FoodPerGuest">'Event Pricing'!$C$14</definedName>
    <definedName name="PricePerGuest">'Event Pricing'!$C$16</definedName>
    <definedName name="EventFood">'Event Pricing'!$C$17</definedName>
    <definedName name="EventPrice">'Event Pricing'!$C$18</definedName>
    <definedName name="Travel">'Event Pricing'!$C$19</definedName>
    <definedName name="Hours">'Event Pricing'!$C$20</definedName>
    <definedName name="ChefTake">'Event Pricing'!$C$21</definedName>
    <definedName name="ChefHourly">'Event Pricing'!$C$22</definedName>
    <definedName name="FoodCostPct">'Event Pricing'!$C$24</definedName>
    <definedName name="MarginPct">'Event Pricing'!$C$25</definedName>
    <definedName name="MenuName">'Service Menu'!$B$5:$B$9</definedName>
    <definedName name="MenuPrice">'Service Menu'!$E$5:$E$9</definedName>
    <definedName name="ClientName">'Clients'!$B$5:$B$9</definedName>
    <definedName name="ClientEvents">'Clients'!$D$5:$D$9</definedName>
    <definedName name="ClientRev">'Clients'!$F$5:$F$9</definedName>
    <definedName name="MonthlyRev">'Clients'!$F$10</definedName>
    <definedName name="EventsMonth">'Clients'!$D$10</definedName>
    <definedName name="TotalClients">'Clients'!$F$12</definedName>
    <definedName name="TopClient">'Clients'!$F$13</definedName>
    <definedName name="GroceryCost">'Grocery List'!$D$5:$D$28</definedName>
    <definedName name="MileCost">'Mileage &amp; Travel'!$E$5:$E$28</definedName>
    <definedName name="WasteCost">'Waste Log'!$D$5:$D$28</definedName>
    <definedName name="WasteTotal">'Waste Log'!$D$29</definedName>
    <definedName name="TotalIncome">'Income &amp; Expenses'!$C$6</definedName>
    <definedName name="ExpAmt">'Income &amp; Expenses'!$C$10:$C$14</definedName>
    <definedName name="ExpTotal">'Income &amp; Expenses'!$C$15</definedName>
    <definedName name="NetProfit">'Income &amp; Expenses'!$C$17</definedName>
    <definedName name="MonthRev">'Monthly Summary'!$C$5:$C$10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1B4F48"/>
      <sz val="12"/>
    </font>
    <font>
      <b val="1"/>
      <color rgb="00C94C4C"/>
    </font>
    <font>
      <b val="1"/>
      <color rgb="001B4F48"/>
      <sz val="13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60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9" borderId="3" applyAlignment="1" pivotButton="0" quotePrefix="0" xfId="0">
      <alignment horizontal="center" vertical="center"/>
    </xf>
    <xf numFmtId="0" fontId="0" fillId="9" borderId="3" pivotButton="0" quotePrefix="0" xfId="0"/>
    <xf numFmtId="165" fontId="15" fillId="9" borderId="2" applyAlignment="1" pivotButton="0" quotePrefix="0" xfId="0">
      <alignment horizontal="center" vertical="center"/>
    </xf>
    <xf numFmtId="0" fontId="0" fillId="9" borderId="2" pivotButton="0" quotePrefix="0" xfId="0"/>
    <xf numFmtId="164" fontId="15" fillId="9" borderId="2" applyAlignment="1" pivotButton="0" quotePrefix="0" xfId="0">
      <alignment horizontal="center" vertical="center"/>
    </xf>
    <xf numFmtId="9" fontId="15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3" fontId="15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10" fillId="0" borderId="0" pivotButton="0" quotePrefix="0" xfId="0"/>
    <xf numFmtId="0" fontId="8" fillId="4" borderId="2" applyAlignment="1" pivotButton="0" quotePrefix="0" xfId="9">
      <alignment horizontal="left" vertical="center" indent="1"/>
    </xf>
    <xf numFmtId="3" fontId="7" fillId="3" borderId="2" applyAlignment="1" pivotButton="0" quotePrefix="0" xfId="8">
      <alignment horizontal="center" vertical="center"/>
    </xf>
    <xf numFmtId="165" fontId="7" fillId="3" borderId="2" applyAlignment="1" pivotButton="0" quotePrefix="0" xfId="8">
      <alignment horizontal="center" vertical="center"/>
    </xf>
    <xf numFmtId="165" fontId="7" fillId="8" borderId="2" applyAlignment="1" pivotButton="0" quotePrefix="0" xfId="8">
      <alignment horizontal="center" vertical="center"/>
    </xf>
    <xf numFmtId="165" fontId="10" fillId="6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5" fontId="7" fillId="0" borderId="2" applyAlignment="1" pivotButton="0" quotePrefix="0" xfId="10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166" fontId="7" fillId="3" borderId="2" applyAlignment="1" pivotButton="0" quotePrefix="0" xfId="8">
      <alignment horizontal="center" vertical="center"/>
    </xf>
    <xf numFmtId="164" fontId="11" fillId="6" borderId="2" applyAlignment="1" pivotButton="0" quotePrefix="0" xfId="6">
      <alignment horizontal="center" vertical="center" wrapText="1"/>
    </xf>
    <xf numFmtId="165" fontId="11" fillId="6" borderId="2" applyAlignment="1" pivotButton="0" quotePrefix="0" xfId="6">
      <alignment horizontal="center" vertical="center" wrapText="1"/>
    </xf>
    <xf numFmtId="9" fontId="7" fillId="6" borderId="2" applyAlignment="1" pivotButton="0" quotePrefix="0" xfId="10">
      <alignment horizontal="left" vertical="center" indent="1"/>
    </xf>
    <xf numFmtId="3" fontId="7" fillId="8" borderId="2" applyAlignment="1" pivotButton="0" quotePrefix="0" xfId="8">
      <alignment horizontal="center" vertical="center"/>
    </xf>
    <xf numFmtId="164" fontId="7" fillId="8" borderId="2" applyAlignment="1" pivotButton="0" quotePrefix="0" xfId="8">
      <alignment horizontal="center" vertical="center"/>
    </xf>
    <xf numFmtId="164" fontId="10" fillId="0" borderId="2" applyAlignment="1" pivotButton="0" quotePrefix="0" xfId="6">
      <alignment horizontal="center" vertical="center" wrapText="1"/>
    </xf>
    <xf numFmtId="164" fontId="10" fillId="8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3" fontId="10" fillId="3" borderId="2" applyAlignment="1" pivotButton="0" quotePrefix="0" xfId="6">
      <alignment horizontal="center" vertical="center" wrapText="1"/>
    </xf>
    <xf numFmtId="164" fontId="10" fillId="6" borderId="2" applyAlignment="1" pivotButton="0" quotePrefix="0" xfId="6">
      <alignment horizontal="center" vertical="center" wrapText="1"/>
    </xf>
    <xf numFmtId="3" fontId="7" fillId="6" borderId="2" applyAlignment="1" pivotButton="0" quotePrefix="0" xfId="10">
      <alignment horizontal="left" vertical="center" indent="1"/>
    </xf>
    <xf numFmtId="0" fontId="7" fillId="6" borderId="2" applyAlignment="1" pivotButton="0" quotePrefix="0" xfId="10">
      <alignment horizontal="left" vertical="center" indent="1"/>
    </xf>
    <xf numFmtId="0" fontId="6" fillId="9" borderId="2" applyAlignment="1" pivotButton="0" quotePrefix="0" xfId="7">
      <alignment horizontal="left" vertical="center" wrapText="1" indent="1"/>
    </xf>
    <xf numFmtId="165" fontId="6" fillId="9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165" fontId="10" fillId="3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5" fontId="12" fillId="3" borderId="2" applyAlignment="1" pivotButton="0" quotePrefix="0" xfId="6">
      <alignment horizontal="center" vertical="center" wrapText="1"/>
    </xf>
    <xf numFmtId="164" fontId="12" fillId="3" borderId="2" applyAlignment="1" pivotButton="0" quotePrefix="0" xfId="6">
      <alignment horizontal="center" vertical="center" wrapText="1"/>
    </xf>
    <xf numFmtId="164" fontId="13" fillId="6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Summary'!$C$5:$C$10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Summary'!$C$5:$C$10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🍽  PERSONAL &amp; PRIVATE CHEF COMMAND CENTER™</t>
        </is>
      </c>
    </row>
    <row r="2" ht="24" customHeight="1">
      <c r="A2" s="2" t="inlineStr">
        <is>
          <t xml:space="preserve">  Cost every dinner, and pay yourself properly.</t>
        </is>
      </c>
    </row>
    <row r="3" ht="6" customHeight="1">
      <c r="A3" s="3" t="n"/>
      <c r="B3" s="3" t="n"/>
      <c r="C3" s="3" t="n"/>
    </row>
    <row r="5">
      <c r="B5" s="4" t="inlineStr">
        <is>
          <t>YOUR WHOLE PRIVATE-CHEF BUSINESS, IN ONE PLACE</t>
        </is>
      </c>
    </row>
    <row r="6" ht="22" customHeight="1">
      <c r="B6" s="5" t="inlineStr">
        <is>
          <t>A private chef lives or dies on two numbers: what a dinner costs to put on the table, and what you actually take home per hour after food and travel. This makes both visible: a per-event pricing engine (cost a dinner per guest, set your per-guest price, and see your take-home and real hourly rate), a service menu and dish costing, and a client roster that turns bookings into monthly revenue. Manage your booking calendar, grocery and kitchen-kit lists, mileage, waste and income &amp; expenses — all in ONE premium Google Sheets &amp; Excel system built for personal and private chefs.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target food-cost % &amp; client goal.</t>
        </is>
      </c>
    </row>
    <row r="13" ht="22" customHeight="1">
      <c r="B13" s="8" t="inlineStr">
        <is>
          <t>2.  Cost a dinner in Event Pricing — per guest, plus travel &amp; hours.</t>
        </is>
      </c>
    </row>
    <row r="14" ht="22" customHeight="1">
      <c r="B14" s="8" t="inlineStr">
        <is>
          <t>3.  Set your per-guest price; your take-home &amp; hourly rate calculate live.</t>
        </is>
      </c>
    </row>
    <row r="15" ht="22" customHeight="1">
      <c r="B15" s="8" t="inlineStr">
        <is>
          <t>4.  Build your Service Menu &amp; cost your signature dishes.</t>
        </is>
      </c>
    </row>
    <row r="16" ht="22" customHeight="1">
      <c r="B16" s="8" t="inlineStr">
        <is>
          <t>5.  Add Clients &amp; bookings — monthly revenue rolls up.</t>
        </is>
      </c>
    </row>
    <row r="17" ht="22" customHeight="1">
      <c r="B17" s="8" t="inlineStr">
        <is>
          <t>6.  Check the Dashboard: revenue, profit &amp; a Chef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private chef (Chef's Table Co.) is included so you can see how it all connects — just type over it with your own dinners and clients. Cost per dinner and your real hourly take-home are the two numbers that decide whether private cheffing pays, and they roll into a live Chef Score. Twelve matching printable pages (event quote, dish cost card, prep list, shopping list, run sheet &amp; more) are included. This is a business tool, not financial, legal or food-safety advice — follow your local food-handling rules and confirm figures with your own advisors.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Cost the dinner, price per guest, and pay yourself for your craft.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🍽  PERSONAL &amp; PRIVATE CHEF COMMAND CENTER™</t>
        </is>
      </c>
    </row>
    <row r="2" ht="24" customHeight="1">
      <c r="A2" s="2" t="inlineStr">
        <is>
          <t xml:space="preserve">  Cost per dinner, your real hourly rate, monthly revenue &amp; a Chef Score —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FOOD / GUEST</t>
        </is>
      </c>
      <c r="C5" s="13" t="n"/>
      <c r="D5" s="12" t="inlineStr">
        <is>
          <t>PRICE / GUEST</t>
        </is>
      </c>
      <c r="E5" s="13" t="n"/>
      <c r="F5" s="12" t="inlineStr">
        <is>
          <t>FOOD COST</t>
        </is>
      </c>
      <c r="G5" s="13" t="n"/>
      <c r="H5" s="12" t="inlineStr">
        <is>
          <t>MARGIN / EVENT</t>
        </is>
      </c>
      <c r="I5" s="13" t="n"/>
      <c r="J5" s="12" t="inlineStr">
        <is>
          <t>YOUR HOURLY</t>
        </is>
      </c>
      <c r="K5" s="13" t="n"/>
      <c r="L5" s="12" t="inlineStr">
        <is>
          <t>TOP CLIENT</t>
        </is>
      </c>
      <c r="M5" s="13" t="n"/>
    </row>
    <row r="6" ht="40" customHeight="1">
      <c r="B6" s="14">
        <f>FoodPerGuest</f>
        <v/>
      </c>
      <c r="C6" s="15" t="n"/>
      <c r="D6" s="16">
        <f>PricePerGuest</f>
        <v/>
      </c>
      <c r="E6" s="15" t="n"/>
      <c r="F6" s="17">
        <f>FoodCostPct</f>
        <v/>
      </c>
      <c r="G6" s="15" t="n"/>
      <c r="H6" s="17">
        <f>MarginPct</f>
        <v/>
      </c>
      <c r="I6" s="15" t="n"/>
      <c r="J6" s="14">
        <f>ChefHourly</f>
        <v/>
      </c>
      <c r="K6" s="15" t="n"/>
      <c r="L6" s="18">
        <f>TopClient</f>
        <v/>
      </c>
      <c r="M6" s="15" t="n"/>
    </row>
    <row r="8" ht="18" customHeight="1">
      <c r="B8" s="12" t="inlineStr">
        <is>
          <t>MONTHLY REVENUE</t>
        </is>
      </c>
      <c r="C8" s="13" t="n"/>
      <c r="D8" s="12" t="inlineStr">
        <is>
          <t>ACTIVE CLIENTS</t>
        </is>
      </c>
      <c r="E8" s="13" t="n"/>
      <c r="F8" s="12" t="inlineStr">
        <is>
          <t>EVENTS / MONTH</t>
        </is>
      </c>
      <c r="G8" s="13" t="n"/>
      <c r="H8" s="12" t="inlineStr">
        <is>
          <t>MONTHLY PROFIT</t>
        </is>
      </c>
      <c r="I8" s="13" t="n"/>
      <c r="J8" s="12" t="inlineStr">
        <is>
          <t>WASTE %</t>
        </is>
      </c>
      <c r="K8" s="13" t="n"/>
      <c r="L8" s="12" t="inlineStr">
        <is>
          <t>CHEF SCORE</t>
        </is>
      </c>
      <c r="M8" s="13" t="n"/>
    </row>
    <row r="9" ht="40" customHeight="1">
      <c r="B9" s="16">
        <f>MonthlyRev</f>
        <v/>
      </c>
      <c r="C9" s="15" t="n"/>
      <c r="D9" s="19">
        <f>TotalClients</f>
        <v/>
      </c>
      <c r="E9" s="15" t="n"/>
      <c r="F9" s="19">
        <f>EventsMonth</f>
        <v/>
      </c>
      <c r="G9" s="15" t="n"/>
      <c r="H9" s="16">
        <f>NetProfit</f>
        <v/>
      </c>
      <c r="I9" s="15" t="n"/>
      <c r="J9" s="17">
        <f>IFERROR(WasteTotal/MonthlyRev,0)</f>
        <v/>
      </c>
      <c r="K9" s="15" t="n"/>
      <c r="L9" s="17">
        <f>IFERROR(AVERAGE(HealthRange),0)</f>
        <v/>
      </c>
      <c r="M9" s="15" t="n"/>
    </row>
    <row r="11" ht="26" customHeight="1">
      <c r="B11" s="4" t="inlineStr">
        <is>
          <t>CHEF HEALTH</t>
        </is>
      </c>
      <c r="H11" s="4" t="inlineStr">
        <is>
          <t>REVENUE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20" t="inlineStr">
        <is>
          <t>Food cost on target</t>
        </is>
      </c>
      <c r="C13" s="21">
        <f>IFERROR(MIN(TargetFC/FoodCostPct,1),0)</f>
        <v/>
      </c>
      <c r="D13" s="22">
        <f>IF(C13&gt;=0.85,"Strong",IF(C13&gt;=0.6,"OK","Watch"))</f>
        <v/>
      </c>
    </row>
    <row r="14">
      <c r="B14" s="23" t="inlineStr">
        <is>
          <t>Margin healthy</t>
        </is>
      </c>
      <c r="C14" s="24">
        <f>IFERROR(MIN(MarginPct/MarginGoal,1),0)</f>
        <v/>
      </c>
      <c r="D14" s="25">
        <f>IF(C14&gt;=0.85,"Strong",IF(C14&gt;=0.6,"OK","Watch"))</f>
        <v/>
      </c>
    </row>
    <row r="15">
      <c r="B15" s="20" t="inlineStr">
        <is>
          <t>Menu priced</t>
        </is>
      </c>
      <c r="C15" s="21">
        <f>IFERROR(COUNTIF(MenuPrice,"&gt;0")/COUNTA(MenuName),0)</f>
        <v/>
      </c>
      <c r="D15" s="22">
        <f>IF(C15&gt;=0.85,"Strong",IF(C15&gt;=0.6,"OK","Watch"))</f>
        <v/>
      </c>
    </row>
    <row r="16">
      <c r="B16" s="23" t="inlineStr">
        <is>
          <t>Clients vs goal</t>
        </is>
      </c>
      <c r="C16" s="24">
        <f>IFERROR(MIN(TotalClients/ClientGoal,1),0)</f>
        <v/>
      </c>
      <c r="D16" s="25">
        <f>IF(C16&gt;=0.85,"Strong",IF(C16&gt;=0.6,"OK","Watch"))</f>
        <v/>
      </c>
    </row>
    <row r="17">
      <c r="B17" s="20" t="inlineStr">
        <is>
          <t>Profitable</t>
        </is>
      </c>
      <c r="C17" s="21">
        <f>IFERROR(MIN(NetProfit/ProfitGoal,1),0)</f>
        <v/>
      </c>
      <c r="D17" s="22">
        <f>IF(C17&gt;=0.85,"Strong",IF(C17&gt;=0.6,"OK","Watch"))</f>
        <v/>
      </c>
    </row>
    <row r="18">
      <c r="B18" s="23" t="inlineStr">
        <is>
          <t>Waste low</t>
        </is>
      </c>
      <c r="C18" s="24">
        <f>IFERROR(1-MIN((WasteTotal/MonthlyRev)/WasteLimit,1),0)</f>
        <v/>
      </c>
      <c r="D18" s="25">
        <f>IF(C18&gt;=0.85,"Strong",IF(C18&gt;=0.6,"OK","Watch"))</f>
        <v/>
      </c>
    </row>
    <row r="21" ht="26" customHeight="1">
      <c r="B21" s="2" t="inlineStr">
        <is>
          <t>Personal &amp; Private Chef Command Center™ — cost every dinner, and pay yourself properly.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🍲  EVENT PRICING</t>
        </is>
      </c>
    </row>
    <row r="2" ht="22" customHeight="1">
      <c r="A2" s="2" t="inlineStr">
        <is>
          <t xml:space="preserve">  Cost a dinner per guest, set your per-guest price, and see your take-home and real hourly rate.</t>
        </is>
      </c>
    </row>
    <row r="3" ht="6" customHeight="1">
      <c r="A3" s="3" t="n"/>
      <c r="B3" s="3" t="n"/>
      <c r="C3" s="3" t="n"/>
    </row>
    <row r="5">
      <c r="B5" s="4" t="inlineStr">
        <is>
          <t>EVENT</t>
        </is>
      </c>
      <c r="C5" s="26" t="inlineStr">
        <is>
          <t>Private Dinner (4-course)</t>
        </is>
      </c>
    </row>
    <row r="6">
      <c r="B6" s="27" t="inlineStr">
        <is>
          <t>Guests</t>
        </is>
      </c>
      <c r="C6" s="28" t="n">
        <v>6</v>
      </c>
    </row>
    <row r="8" ht="30" customHeight="1">
      <c r="B8" s="9" t="inlineStr">
        <is>
          <t>Course / component</t>
        </is>
      </c>
      <c r="C8" s="9" t="inlineStr">
        <is>
          <t>Cost / guest</t>
        </is>
      </c>
    </row>
    <row r="9">
      <c r="B9" s="20" t="inlineStr">
        <is>
          <t>Appetizer</t>
        </is>
      </c>
      <c r="C9" s="29" t="n">
        <v>4</v>
      </c>
    </row>
    <row r="10">
      <c r="B10" s="23" t="inlineStr">
        <is>
          <t>Main protein</t>
        </is>
      </c>
      <c r="C10" s="30" t="n">
        <v>10</v>
      </c>
    </row>
    <row r="11">
      <c r="B11" s="20" t="inlineStr">
        <is>
          <t>Sides &amp; vegetables</t>
        </is>
      </c>
      <c r="C11" s="29" t="n">
        <v>3.5</v>
      </c>
    </row>
    <row r="12">
      <c r="B12" s="23" t="inlineStr">
        <is>
          <t>Dessert</t>
        </is>
      </c>
      <c r="C12" s="30" t="n">
        <v>2.5</v>
      </c>
    </row>
    <row r="13">
      <c r="B13" s="20" t="inlineStr">
        <is>
          <t>Pantry, oil &amp; garnish</t>
        </is>
      </c>
      <c r="C13" s="29" t="n">
        <v>2</v>
      </c>
    </row>
    <row r="14">
      <c r="B14" s="9" t="inlineStr">
        <is>
          <t>FOOD / GUEST</t>
        </is>
      </c>
      <c r="C14" s="31">
        <f>SUM(C9:C13)</f>
        <v/>
      </c>
    </row>
    <row r="16">
      <c r="B16" s="4" t="inlineStr">
        <is>
          <t>YOUR PRICE / GUEST</t>
        </is>
      </c>
      <c r="C16" s="32" t="n">
        <v>90</v>
      </c>
    </row>
    <row r="17">
      <c r="B17" s="27" t="inlineStr">
        <is>
          <t>Event food cost</t>
        </is>
      </c>
      <c r="C17" s="33">
        <f>FoodPerGuest*Guests</f>
        <v/>
      </c>
    </row>
    <row r="18">
      <c r="B18" s="27" t="inlineStr">
        <is>
          <t>Event price (per guest × guests)</t>
        </is>
      </c>
      <c r="C18" s="34">
        <f>PricePerGuest*Guests</f>
        <v/>
      </c>
    </row>
    <row r="19">
      <c r="B19" s="27" t="inlineStr">
        <is>
          <t>− Travel / mileage</t>
        </is>
      </c>
      <c r="C19" s="32" t="n">
        <v>30</v>
      </c>
    </row>
    <row r="20">
      <c r="B20" s="27" t="inlineStr">
        <is>
          <t>Hours worked (shop, prep, cook, serve)</t>
        </is>
      </c>
      <c r="C20" s="35" t="n">
        <v>7</v>
      </c>
    </row>
    <row r="21">
      <c r="B21" s="9">
        <f> YOUR TAKE-HOME (price − food − travel)</f>
        <v/>
      </c>
      <c r="C21" s="36">
        <f>EventPrice-EventFood-Travel</f>
        <v/>
      </c>
    </row>
    <row r="22">
      <c r="B22" s="9">
        <f> YOUR REAL HOURLY RATE</f>
        <v/>
      </c>
      <c r="C22" s="37">
        <f>IFERROR(ChefTake/Hours,0)</f>
        <v/>
      </c>
    </row>
    <row r="24">
      <c r="B24" s="27" t="inlineStr">
        <is>
          <t>Food cost % (of event price)</t>
        </is>
      </c>
      <c r="C24" s="38">
        <f>IFERROR(EventFood/EventPrice,0)</f>
        <v/>
      </c>
    </row>
    <row r="25">
      <c r="B25" s="27" t="inlineStr">
        <is>
          <t>Margin % (take-home ÷ price)</t>
        </is>
      </c>
      <c r="C25" s="38">
        <f>IFERROR(ChefTake/EventPrice,0)</f>
        <v/>
      </c>
    </row>
    <row r="27">
      <c r="B27" s="7" t="inlineStr">
        <is>
          <t>Copy this build for every event — swap the courses &amp; guest count.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📖  SERVICE MENU</t>
        </is>
      </c>
    </row>
    <row r="2" ht="22" customHeight="1">
      <c r="A2" s="2" t="inlineStr">
        <is>
          <t xml:space="preserve">  Your packages — guests, how they're priced, and the rate. Keep it simple to quote.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Package</t>
        </is>
      </c>
      <c r="C4" s="9" t="inlineStr">
        <is>
          <t>Guests</t>
        </is>
      </c>
      <c r="D4" s="9" t="inlineStr">
        <is>
          <t>Basis</t>
        </is>
      </c>
      <c r="E4" s="9" t="inlineStr">
        <is>
          <t>Price</t>
        </is>
      </c>
    </row>
    <row r="5">
      <c r="B5" s="20" t="inlineStr">
        <is>
          <t>Intimate Dinner (3-course)</t>
        </is>
      </c>
      <c r="C5" s="28" t="n">
        <v>2</v>
      </c>
      <c r="D5" s="22" t="inlineStr">
        <is>
          <t>per guest</t>
        </is>
      </c>
      <c r="E5" s="32" t="n">
        <v>110</v>
      </c>
    </row>
    <row r="6">
      <c r="B6" s="23" t="inlineStr">
        <is>
          <t>Private Dinner (4-course)</t>
        </is>
      </c>
      <c r="C6" s="39" t="n">
        <v>6</v>
      </c>
      <c r="D6" s="25" t="inlineStr">
        <is>
          <t>per guest</t>
        </is>
      </c>
      <c r="E6" s="40" t="n">
        <v>90</v>
      </c>
    </row>
    <row r="7">
      <c r="B7" s="20" t="inlineStr">
        <is>
          <t>Dinner Party (4-course)</t>
        </is>
      </c>
      <c r="C7" s="28" t="n">
        <v>10</v>
      </c>
      <c r="D7" s="22" t="inlineStr">
        <is>
          <t>per guest</t>
        </is>
      </c>
      <c r="E7" s="32" t="n">
        <v>85</v>
      </c>
    </row>
    <row r="8">
      <c r="B8" s="23" t="inlineStr">
        <is>
          <t>Weekly Meal Prep</t>
        </is>
      </c>
      <c r="C8" s="39" t="n">
        <v>1</v>
      </c>
      <c r="D8" s="25" t="inlineStr">
        <is>
          <t>flat rate</t>
        </is>
      </c>
      <c r="E8" s="40" t="n">
        <v>280</v>
      </c>
    </row>
    <row r="9">
      <c r="B9" s="20" t="inlineStr">
        <is>
          <t>Date Night for Two</t>
        </is>
      </c>
      <c r="C9" s="28" t="n">
        <v>2</v>
      </c>
      <c r="D9" s="22" t="inlineStr">
        <is>
          <t>flat rate</t>
        </is>
      </c>
      <c r="E9" s="32" t="n">
        <v>300</v>
      </c>
    </row>
  </sheetData>
  <mergeCells count="2">
    <mergeCell ref="A2:E2"/>
    <mergeCell ref="A1:E1"/>
  </mergeCells>
  <dataValidations count="5">
    <dataValidation sqref="D5" showDropDown="0" showInputMessage="0" showErrorMessage="0" allowBlank="1" type="list">
      <formula1>=BasisList</formula1>
    </dataValidation>
    <dataValidation sqref="D6" showDropDown="0" showInputMessage="0" showErrorMessage="0" allowBlank="1" type="list">
      <formula1>=BasisList</formula1>
    </dataValidation>
    <dataValidation sqref="D7" showDropDown="0" showInputMessage="0" showErrorMessage="0" allowBlank="1" type="list">
      <formula1>=BasisList</formula1>
    </dataValidation>
    <dataValidation sqref="D8" showDropDown="0" showInputMessage="0" showErrorMessage="0" allowBlank="1" type="list">
      <formula1>=BasisList</formula1>
    </dataValidation>
    <dataValidation sqref="D9" showDropDown="0" showInputMessage="0" showErrorMessage="0" allowBlank="1" type="list">
      <formula1>=BasisList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🍳  DISH COSTING</t>
        </is>
      </c>
    </row>
    <row r="2" ht="22" customHeight="1">
      <c r="A2" s="2" t="inlineStr">
        <is>
          <t xml:space="preserve">  Cost each signature dish per guest — cost, menu price, margin &amp; food-cost %.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Dish</t>
        </is>
      </c>
      <c r="C4" s="9" t="inlineStr">
        <is>
          <t>Course</t>
        </is>
      </c>
      <c r="D4" s="9" t="inlineStr">
        <is>
          <t>Cost/guest</t>
        </is>
      </c>
      <c r="E4" s="9" t="inlineStr">
        <is>
          <t>Price/guest</t>
        </is>
      </c>
      <c r="F4" s="9" t="inlineStr">
        <is>
          <t>Food %</t>
        </is>
      </c>
    </row>
    <row r="5">
      <c r="B5" s="20" t="inlineStr">
        <is>
          <t>Seared Scallops</t>
        </is>
      </c>
      <c r="C5" s="22" t="inlineStr">
        <is>
          <t>Appetizer</t>
        </is>
      </c>
      <c r="D5" s="29" t="n">
        <v>5.2</v>
      </c>
      <c r="E5" s="32" t="n">
        <v>18</v>
      </c>
      <c r="F5" s="21">
        <f>IFERROR(D5/E5,0)</f>
        <v/>
      </c>
    </row>
    <row r="6">
      <c r="B6" s="23" t="inlineStr">
        <is>
          <t>Burrata &amp; Heirloom</t>
        </is>
      </c>
      <c r="C6" s="25" t="inlineStr">
        <is>
          <t>Appetizer</t>
        </is>
      </c>
      <c r="D6" s="30" t="n">
        <v>3.8</v>
      </c>
      <c r="E6" s="40" t="n">
        <v>14</v>
      </c>
      <c r="F6" s="24">
        <f>IFERROR(D6/E6,0)</f>
        <v/>
      </c>
    </row>
    <row r="7">
      <c r="B7" s="20" t="inlineStr">
        <is>
          <t>Filet Mignon</t>
        </is>
      </c>
      <c r="C7" s="22" t="inlineStr">
        <is>
          <t>Main</t>
        </is>
      </c>
      <c r="D7" s="29" t="n">
        <v>12.5</v>
      </c>
      <c r="E7" s="32" t="n">
        <v>42</v>
      </c>
      <c r="F7" s="21">
        <f>IFERROR(D7/E7,0)</f>
        <v/>
      </c>
    </row>
    <row r="8">
      <c r="B8" s="23" t="inlineStr">
        <is>
          <t>Herb-Roast Chicken</t>
        </is>
      </c>
      <c r="C8" s="25" t="inlineStr">
        <is>
          <t>Main</t>
        </is>
      </c>
      <c r="D8" s="30" t="n">
        <v>7.2</v>
      </c>
      <c r="E8" s="40" t="n">
        <v>30</v>
      </c>
      <c r="F8" s="24">
        <f>IFERROR(D8/E8,0)</f>
        <v/>
      </c>
    </row>
    <row r="9">
      <c r="B9" s="20" t="inlineStr">
        <is>
          <t>Pan-Seared Salmon</t>
        </is>
      </c>
      <c r="C9" s="22" t="inlineStr">
        <is>
          <t>Main</t>
        </is>
      </c>
      <c r="D9" s="29" t="n">
        <v>9.4</v>
      </c>
      <c r="E9" s="32" t="n">
        <v>34</v>
      </c>
      <c r="F9" s="21">
        <f>IFERROR(D9/E9,0)</f>
        <v/>
      </c>
    </row>
    <row r="10">
      <c r="B10" s="23" t="inlineStr">
        <is>
          <t>Truffle Risotto</t>
        </is>
      </c>
      <c r="C10" s="25" t="inlineStr">
        <is>
          <t>Main</t>
        </is>
      </c>
      <c r="D10" s="30" t="n">
        <v>5.6</v>
      </c>
      <c r="E10" s="40" t="n">
        <v>26</v>
      </c>
      <c r="F10" s="24">
        <f>IFERROR(D10/E10,0)</f>
        <v/>
      </c>
    </row>
    <row r="11">
      <c r="B11" s="20" t="inlineStr">
        <is>
          <t>Chocolate Torte</t>
        </is>
      </c>
      <c r="C11" s="22" t="inlineStr">
        <is>
          <t>Dessert</t>
        </is>
      </c>
      <c r="D11" s="29" t="n">
        <v>2.9</v>
      </c>
      <c r="E11" s="32" t="n">
        <v>12</v>
      </c>
      <c r="F11" s="21">
        <f>IFERROR(D11/E11,0)</f>
        <v/>
      </c>
    </row>
    <row r="12">
      <c r="B12" s="23" t="inlineStr">
        <is>
          <t>Lemon Tart</t>
        </is>
      </c>
      <c r="C12" s="25" t="inlineStr">
        <is>
          <t>Dessert</t>
        </is>
      </c>
      <c r="D12" s="30" t="n">
        <v>2.6</v>
      </c>
      <c r="E12" s="40" t="n">
        <v>11</v>
      </c>
      <c r="F12" s="24">
        <f>IFERROR(D12/E12,0)</f>
        <v/>
      </c>
    </row>
  </sheetData>
  <mergeCells count="2">
    <mergeCell ref="A2:F2"/>
    <mergeCell ref="A1:F1"/>
  </mergeCells>
  <conditionalFormatting sqref="F5:F12">
    <cfRule type="colorScale" priority="1">
      <colorScale>
        <cfvo type="num" val="0.2"/>
        <cfvo type="num" val="0.35"/>
        <cfvo type="num" val="0.5"/>
        <color rgb="FF75E6C1"/>
        <color rgb="FFFFF3CD"/>
        <color rgb="FFFBE6E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8" customWidth="1" min="3" max="3"/>
    <col width="14" customWidth="1" min="4" max="4"/>
    <col width="14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👥  CLIENTS</t>
        </is>
      </c>
    </row>
    <row r="2" ht="22" customHeight="1">
      <c r="A2" s="2" t="inlineStr">
        <is>
          <t xml:space="preserve">  Your roster — service, events a month and the rate, so monthly revenue rolls up.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Client</t>
        </is>
      </c>
      <c r="C4" s="9" t="inlineStr">
        <is>
          <t>Service</t>
        </is>
      </c>
      <c r="D4" s="9" t="inlineStr">
        <is>
          <t>Events/mo</t>
        </is>
      </c>
      <c r="E4" s="9" t="inlineStr">
        <is>
          <t>Price/event</t>
        </is>
      </c>
      <c r="F4" s="9" t="inlineStr">
        <is>
          <t>Monthly Rev</t>
        </is>
      </c>
    </row>
    <row r="5">
      <c r="B5" s="20" t="inlineStr">
        <is>
          <t>Anderson Family</t>
        </is>
      </c>
      <c r="C5" s="20" t="inlineStr">
        <is>
          <t>Private dinner</t>
        </is>
      </c>
      <c r="D5" s="28" t="n">
        <v>4</v>
      </c>
      <c r="E5" s="32" t="n">
        <v>540</v>
      </c>
      <c r="F5" s="41">
        <f>D5*E5</f>
        <v/>
      </c>
    </row>
    <row r="6">
      <c r="B6" s="23" t="inlineStr">
        <is>
          <t>Bello</t>
        </is>
      </c>
      <c r="C6" s="23" t="inlineStr">
        <is>
          <t>Private dinner</t>
        </is>
      </c>
      <c r="D6" s="39" t="n">
        <v>2</v>
      </c>
      <c r="E6" s="40" t="n">
        <v>540</v>
      </c>
      <c r="F6" s="42">
        <f>D6*E6</f>
        <v/>
      </c>
    </row>
    <row r="7">
      <c r="B7" s="20" t="inlineStr">
        <is>
          <t>Chen</t>
        </is>
      </c>
      <c r="C7" s="20" t="inlineStr">
        <is>
          <t>Meal prep</t>
        </is>
      </c>
      <c r="D7" s="28" t="n">
        <v>4</v>
      </c>
      <c r="E7" s="32" t="n">
        <v>280</v>
      </c>
      <c r="F7" s="41">
        <f>D7*E7</f>
        <v/>
      </c>
    </row>
    <row r="8">
      <c r="B8" s="23" t="inlineStr">
        <is>
          <t>Ruiz (party)</t>
        </is>
      </c>
      <c r="C8" s="23" t="inlineStr">
        <is>
          <t>Dinner party</t>
        </is>
      </c>
      <c r="D8" s="39" t="n">
        <v>1</v>
      </c>
      <c r="E8" s="40" t="n">
        <v>990</v>
      </c>
      <c r="F8" s="42">
        <f>D8*E8</f>
        <v/>
      </c>
    </row>
    <row r="9">
      <c r="B9" s="20" t="inlineStr">
        <is>
          <t>Okoro</t>
        </is>
      </c>
      <c r="C9" s="20" t="inlineStr">
        <is>
          <t>Date night</t>
        </is>
      </c>
      <c r="D9" s="28" t="n">
        <v>2</v>
      </c>
      <c r="E9" s="32" t="n">
        <v>300</v>
      </c>
      <c r="F9" s="41">
        <f>D9*E9</f>
        <v/>
      </c>
    </row>
    <row r="10">
      <c r="B10" s="9" t="inlineStr">
        <is>
          <t>TOTALS</t>
        </is>
      </c>
      <c r="C10" s="43" t="n"/>
      <c r="D10" s="44">
        <f>SUM(ClientEvents)</f>
        <v/>
      </c>
      <c r="E10" s="43" t="n"/>
      <c r="F10" s="45">
        <f>SUM(ClientRev)</f>
        <v/>
      </c>
    </row>
    <row r="12">
      <c r="B12" s="27" t="inlineStr">
        <is>
          <t>Active clients</t>
        </is>
      </c>
      <c r="F12" s="46">
        <f>COUNTA(ClientName)</f>
        <v/>
      </c>
    </row>
    <row r="13">
      <c r="B13" s="27" t="inlineStr">
        <is>
          <t>Top client (by revenue)</t>
        </is>
      </c>
      <c r="F13" s="47">
        <f>IFERROR(INDEX(ClientName,MATCH(MAX(ClientRev),ClientRev,0)),"")</f>
        <v/>
      </c>
    </row>
  </sheetData>
  <mergeCells count="2">
    <mergeCell ref="A2:F2"/>
    <mergeCell ref="A1:F1"/>
  </mergeCells>
  <dataValidations count="5">
    <dataValidation sqref="C5" showDropDown="0" showInputMessage="0" showErrorMessage="0" allowBlank="1" type="list">
      <formula1>=ServiceList</formula1>
    </dataValidation>
    <dataValidation sqref="C6" showDropDown="0" showInputMessage="0" showErrorMessage="0" allowBlank="1" type="list">
      <formula1>=ServiceList</formula1>
    </dataValidation>
    <dataValidation sqref="C7" showDropDown="0" showInputMessage="0" showErrorMessage="0" allowBlank="1" type="list">
      <formula1>=ServiceList</formula1>
    </dataValidation>
    <dataValidation sqref="C8" showDropDown="0" showInputMessage="0" showErrorMessage="0" allowBlank="1" type="list">
      <formula1>=ServiceList</formula1>
    </dataValidation>
    <dataValidation sqref="C9" showDropDown="0" showInputMessage="0" showErrorMessage="0" allowBlank="1" type="list">
      <formula1>=ServiceList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2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📅  BOOKING CALENDAR</t>
        </is>
      </c>
    </row>
    <row r="2" ht="22" customHeight="1">
      <c r="A2" s="2" t="inlineStr">
        <is>
          <t xml:space="preserve">  This week's bookings — who, what service, how many guests &amp; the status.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Day</t>
        </is>
      </c>
      <c r="C4" s="9" t="inlineStr">
        <is>
          <t>Client</t>
        </is>
      </c>
      <c r="D4" s="9" t="inlineStr">
        <is>
          <t>Service</t>
        </is>
      </c>
      <c r="E4" s="9" t="inlineStr">
        <is>
          <t>Guests</t>
        </is>
      </c>
      <c r="F4" s="9" t="inlineStr">
        <is>
          <t>Status</t>
        </is>
      </c>
    </row>
    <row r="5">
      <c r="B5" s="20" t="inlineStr">
        <is>
          <t>Fri</t>
        </is>
      </c>
      <c r="C5" s="20" t="inlineStr">
        <is>
          <t>Anderson Family</t>
        </is>
      </c>
      <c r="D5" s="20" t="inlineStr">
        <is>
          <t>Private dinner</t>
        </is>
      </c>
      <c r="E5" s="28" t="n">
        <v>6</v>
      </c>
      <c r="F5" s="22" t="inlineStr">
        <is>
          <t>Confirmed</t>
        </is>
      </c>
    </row>
    <row r="6">
      <c r="B6" s="23" t="inlineStr">
        <is>
          <t>Sat</t>
        </is>
      </c>
      <c r="C6" s="23" t="inlineStr">
        <is>
          <t>Ruiz (party)</t>
        </is>
      </c>
      <c r="D6" s="23" t="inlineStr">
        <is>
          <t>Dinner party</t>
        </is>
      </c>
      <c r="E6" s="39" t="n">
        <v>10</v>
      </c>
      <c r="F6" s="25" t="inlineStr">
        <is>
          <t>Confirmed</t>
        </is>
      </c>
    </row>
    <row r="7">
      <c r="B7" s="20" t="inlineStr">
        <is>
          <t>Sun</t>
        </is>
      </c>
      <c r="C7" s="20" t="inlineStr">
        <is>
          <t>Chen</t>
        </is>
      </c>
      <c r="D7" s="20" t="inlineStr">
        <is>
          <t>Meal prep</t>
        </is>
      </c>
      <c r="E7" s="28" t="n">
        <v>1</v>
      </c>
      <c r="F7" s="22" t="inlineStr">
        <is>
          <t>Booked</t>
        </is>
      </c>
    </row>
    <row r="8">
      <c r="B8" s="23" t="inlineStr">
        <is>
          <t>Tue</t>
        </is>
      </c>
      <c r="C8" s="23" t="inlineStr">
        <is>
          <t>Okoro</t>
        </is>
      </c>
      <c r="D8" s="23" t="inlineStr">
        <is>
          <t>Date night</t>
        </is>
      </c>
      <c r="E8" s="39" t="n">
        <v>2</v>
      </c>
      <c r="F8" s="25" t="inlineStr">
        <is>
          <t>Booked</t>
        </is>
      </c>
    </row>
    <row r="9">
      <c r="B9" s="20" t="inlineStr">
        <is>
          <t>Thu</t>
        </is>
      </c>
      <c r="C9" s="20" t="inlineStr">
        <is>
          <t>Bello</t>
        </is>
      </c>
      <c r="D9" s="20" t="inlineStr">
        <is>
          <t>Private dinner</t>
        </is>
      </c>
      <c r="E9" s="28" t="n">
        <v>6</v>
      </c>
      <c r="F9" s="22" t="inlineStr">
        <is>
          <t>Enquiry</t>
        </is>
      </c>
    </row>
    <row r="10">
      <c r="B10" s="9" t="inlineStr">
        <is>
          <t>THIS WEEK</t>
        </is>
      </c>
      <c r="C10" s="43" t="n"/>
      <c r="D10" s="43" t="n"/>
      <c r="E10" s="44">
        <f>SUM(E5:E9)</f>
        <v/>
      </c>
      <c r="F10" s="43" t="n"/>
    </row>
  </sheetData>
  <mergeCells count="2">
    <mergeCell ref="A2:F2"/>
    <mergeCell ref="A1:F1"/>
  </mergeCells>
  <dataValidations count="10">
    <dataValidation sqref="D5" showDropDown="0" showInputMessage="0" showErrorMessage="0" allowBlank="1" type="list">
      <formula1>=ServiceList</formula1>
    </dataValidation>
    <dataValidation sqref="F5" showDropDown="0" showInputMessage="0" showErrorMessage="0" allowBlank="1" type="list">
      <formula1>=StatusList</formula1>
    </dataValidation>
    <dataValidation sqref="D6" showDropDown="0" showInputMessage="0" showErrorMessage="0" allowBlank="1" type="list">
      <formula1>=ServiceList</formula1>
    </dataValidation>
    <dataValidation sqref="F6" showDropDown="0" showInputMessage="0" showErrorMessage="0" allowBlank="1" type="list">
      <formula1>=StatusList</formula1>
    </dataValidation>
    <dataValidation sqref="D7" showDropDown="0" showInputMessage="0" showErrorMessage="0" allowBlank="1" type="list">
      <formula1>=ServiceList</formula1>
    </dataValidation>
    <dataValidation sqref="F7" showDropDown="0" showInputMessage="0" showErrorMessage="0" allowBlank="1" type="list">
      <formula1>=StatusList</formula1>
    </dataValidation>
    <dataValidation sqref="D8" showDropDown="0" showInputMessage="0" showErrorMessage="0" allowBlank="1" type="list">
      <formula1>=ServiceList</formula1>
    </dataValidation>
    <dataValidation sqref="F8" showDropDown="0" showInputMessage="0" showErrorMessage="0" allowBlank="1" type="list">
      <formula1>=StatusList</formula1>
    </dataValidation>
    <dataValidation sqref="D9" showDropDown="0" showInputMessage="0" showErrorMessage="0" allowBlank="1" type="list">
      <formula1>=ServiceList</formula1>
    </dataValidation>
    <dataValidation sqref="F9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🛒  GROCERY LIST</t>
        </is>
      </c>
    </row>
    <row r="2" ht="22" customHeight="1">
      <c r="A2" s="2" t="inlineStr">
        <is>
          <t xml:space="preserve">  Your shopping by vendor — what the food actually costs, so pricing stays honest.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 / category</t>
        </is>
      </c>
      <c r="C4" s="9" t="inlineStr">
        <is>
          <t>Vendor</t>
        </is>
      </c>
      <c r="D4" s="9" t="inlineStr">
        <is>
          <t>Cost</t>
        </is>
      </c>
    </row>
    <row r="5">
      <c r="B5" s="48" t="inlineStr">
        <is>
          <t>Proteins (butcher)</t>
        </is>
      </c>
      <c r="C5" s="48" t="inlineStr">
        <is>
          <t>Local butcher</t>
        </is>
      </c>
      <c r="D5" s="49" t="n">
        <v>620</v>
      </c>
    </row>
    <row r="6">
      <c r="B6" s="23" t="inlineStr">
        <is>
          <t>Produce &amp; herbs</t>
        </is>
      </c>
      <c r="C6" s="23" t="inlineStr">
        <is>
          <t>Farmers market</t>
        </is>
      </c>
      <c r="D6" s="50" t="n">
        <v>340</v>
      </c>
    </row>
    <row r="7">
      <c r="B7" s="48" t="inlineStr">
        <is>
          <t>Dairy &amp; eggs</t>
        </is>
      </c>
      <c r="C7" s="48" t="inlineStr">
        <is>
          <t>Wholesaler</t>
        </is>
      </c>
      <c r="D7" s="49" t="n">
        <v>190</v>
      </c>
    </row>
    <row r="8">
      <c r="B8" s="23" t="inlineStr">
        <is>
          <t>Pantry &amp; dry goods</t>
        </is>
      </c>
      <c r="C8" s="23" t="inlineStr">
        <is>
          <t>Restaurant depot</t>
        </is>
      </c>
      <c r="D8" s="50" t="n">
        <v>260</v>
      </c>
    </row>
    <row r="9">
      <c r="B9" s="48" t="inlineStr">
        <is>
          <t>Specialty &amp; garnish</t>
        </is>
      </c>
      <c r="C9" s="48" t="inlineStr">
        <is>
          <t>Specialty grocer</t>
        </is>
      </c>
      <c r="D9" s="49" t="n">
        <v>180</v>
      </c>
    </row>
    <row r="10">
      <c r="B10" s="23" t="inlineStr">
        <is>
          <t>Beverages &amp; extras</t>
        </is>
      </c>
      <c r="C10" s="23" t="inlineStr">
        <is>
          <t>Wholesaler</t>
        </is>
      </c>
      <c r="D10" s="50" t="n">
        <v>110</v>
      </c>
    </row>
    <row r="11">
      <c r="B11" s="48" t="n"/>
      <c r="C11" s="48" t="n"/>
      <c r="D11" s="49" t="n"/>
    </row>
    <row r="12">
      <c r="B12" s="23" t="n"/>
      <c r="C12" s="23" t="n"/>
      <c r="D12" s="50" t="n"/>
    </row>
    <row r="13">
      <c r="B13" s="48" t="n"/>
      <c r="C13" s="48" t="n"/>
      <c r="D13" s="49" t="n"/>
    </row>
    <row r="14">
      <c r="B14" s="23" t="n"/>
      <c r="C14" s="23" t="n"/>
      <c r="D14" s="50" t="n"/>
    </row>
    <row r="15">
      <c r="B15" s="48" t="n"/>
      <c r="C15" s="48" t="n"/>
      <c r="D15" s="49" t="n"/>
    </row>
    <row r="16">
      <c r="B16" s="23" t="n"/>
      <c r="C16" s="23" t="n"/>
      <c r="D16" s="50" t="n"/>
    </row>
    <row r="17">
      <c r="B17" s="48" t="n"/>
      <c r="C17" s="48" t="n"/>
      <c r="D17" s="49" t="n"/>
    </row>
    <row r="18">
      <c r="B18" s="23" t="n"/>
      <c r="C18" s="23" t="n"/>
      <c r="D18" s="50" t="n"/>
    </row>
    <row r="19">
      <c r="B19" s="48" t="n"/>
      <c r="C19" s="48" t="n"/>
      <c r="D19" s="49" t="n"/>
    </row>
    <row r="20">
      <c r="B20" s="23" t="n"/>
      <c r="C20" s="23" t="n"/>
      <c r="D20" s="50" t="n"/>
    </row>
    <row r="21">
      <c r="B21" s="48" t="n"/>
      <c r="C21" s="48" t="n"/>
      <c r="D21" s="49" t="n"/>
    </row>
    <row r="22">
      <c r="B22" s="23" t="n"/>
      <c r="C22" s="23" t="n"/>
      <c r="D22" s="50" t="n"/>
    </row>
    <row r="23">
      <c r="B23" s="48" t="n"/>
      <c r="C23" s="48" t="n"/>
      <c r="D23" s="49" t="n"/>
    </row>
    <row r="24">
      <c r="B24" s="23" t="n"/>
      <c r="C24" s="23" t="n"/>
      <c r="D24" s="50" t="n"/>
    </row>
    <row r="25">
      <c r="B25" s="48" t="n"/>
      <c r="C25" s="48" t="n"/>
      <c r="D25" s="49" t="n"/>
    </row>
    <row r="26">
      <c r="B26" s="23" t="n"/>
      <c r="C26" s="23" t="n"/>
      <c r="D26" s="50" t="n"/>
    </row>
    <row r="27">
      <c r="B27" s="48" t="n"/>
      <c r="C27" s="48" t="n"/>
      <c r="D27" s="49" t="n"/>
    </row>
    <row r="28">
      <c r="B28" s="23" t="n"/>
      <c r="C28" s="23" t="n"/>
      <c r="D28" s="50" t="n"/>
    </row>
    <row r="29">
      <c r="B29" s="9" t="inlineStr">
        <is>
          <t>TOTAL GROCERIES</t>
        </is>
      </c>
      <c r="C29" s="43" t="n"/>
      <c r="D29" s="51">
        <f>SUM(GroceryCost)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🔪  KITCHEN KIT</t>
        </is>
      </c>
    </row>
    <row r="2" ht="22" customHeight="1">
      <c r="A2" s="2" t="inlineStr">
        <is>
          <t xml:space="preserve">  Your travelling kitchen — what you own, what you rent, and what to restock.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Equipment</t>
        </is>
      </c>
      <c r="C4" s="9" t="inlineStr">
        <is>
          <t>Have?</t>
        </is>
      </c>
      <c r="D4" s="9" t="inlineStr">
        <is>
          <t>Notes</t>
        </is>
      </c>
    </row>
    <row r="5">
      <c r="B5" s="48" t="inlineStr">
        <is>
          <t>Chef knives &amp; steel</t>
        </is>
      </c>
      <c r="C5" s="52" t="inlineStr">
        <is>
          <t>Yes</t>
        </is>
      </c>
      <c r="D5" s="48" t="inlineStr">
        <is>
          <t>Sharpen weekly</t>
        </is>
      </c>
    </row>
    <row r="6">
      <c r="B6" s="23" t="inlineStr">
        <is>
          <t>Portable induction burner</t>
        </is>
      </c>
      <c r="C6" s="25" t="inlineStr">
        <is>
          <t>Yes</t>
        </is>
      </c>
      <c r="D6" s="23" t="inlineStr">
        <is>
          <t>Backup heat</t>
        </is>
      </c>
    </row>
    <row r="7">
      <c r="B7" s="48" t="inlineStr">
        <is>
          <t>Cambro / transport bins</t>
        </is>
      </c>
      <c r="C7" s="52" t="inlineStr">
        <is>
          <t>Yes</t>
        </is>
      </c>
      <c r="D7" s="48" t="inlineStr">
        <is>
          <t>Meal-prep drops</t>
        </is>
      </c>
    </row>
    <row r="8">
      <c r="B8" s="23" t="inlineStr">
        <is>
          <t>Immersion circulator</t>
        </is>
      </c>
      <c r="C8" s="25" t="inlineStr">
        <is>
          <t>Yes</t>
        </is>
      </c>
      <c r="D8" s="23" t="inlineStr">
        <is>
          <t>Sous-vide mains</t>
        </is>
      </c>
    </row>
    <row r="9">
      <c r="B9" s="48" t="inlineStr">
        <is>
          <t>Sheet pans &amp; liners</t>
        </is>
      </c>
      <c r="C9" s="52" t="inlineStr">
        <is>
          <t>Yes</t>
        </is>
      </c>
      <c r="D9" s="48" t="inlineStr">
        <is>
          <t>Restock monthly</t>
        </is>
      </c>
    </row>
    <row r="10">
      <c r="B10" s="23" t="inlineStr">
        <is>
          <t>Serviceware kit</t>
        </is>
      </c>
      <c r="C10" s="25" t="inlineStr">
        <is>
          <t>No</t>
        </is>
      </c>
      <c r="D10" s="23" t="inlineStr">
        <is>
          <t>Rent for parties</t>
        </is>
      </c>
    </row>
    <row r="11">
      <c r="B11" s="48" t="n"/>
      <c r="C11" s="52" t="n"/>
      <c r="D11" s="48" t="n"/>
    </row>
    <row r="12">
      <c r="B12" s="23" t="n"/>
      <c r="C12" s="25" t="n"/>
      <c r="D12" s="23" t="n"/>
    </row>
    <row r="13">
      <c r="B13" s="48" t="n"/>
      <c r="C13" s="52" t="n"/>
      <c r="D13" s="48" t="n"/>
    </row>
    <row r="14">
      <c r="B14" s="23" t="n"/>
      <c r="C14" s="25" t="n"/>
      <c r="D14" s="23" t="n"/>
    </row>
    <row r="15">
      <c r="B15" s="48" t="n"/>
      <c r="C15" s="52" t="n"/>
      <c r="D15" s="48" t="n"/>
    </row>
    <row r="16">
      <c r="B16" s="23" t="n"/>
      <c r="C16" s="25" t="n"/>
      <c r="D16" s="23" t="n"/>
    </row>
    <row r="17">
      <c r="B17" s="48" t="n"/>
      <c r="C17" s="52" t="n"/>
      <c r="D17" s="48" t="n"/>
    </row>
    <row r="18">
      <c r="B18" s="23" t="n"/>
      <c r="C18" s="25" t="n"/>
      <c r="D18" s="23" t="n"/>
    </row>
    <row r="19">
      <c r="B19" s="48" t="n"/>
      <c r="C19" s="52" t="n"/>
      <c r="D19" s="48" t="n"/>
    </row>
    <row r="20">
      <c r="B20" s="23" t="n"/>
      <c r="C20" s="25" t="n"/>
      <c r="D20" s="23" t="n"/>
    </row>
    <row r="21">
      <c r="B21" s="48" t="n"/>
      <c r="C21" s="52" t="n"/>
      <c r="D21" s="48" t="n"/>
    </row>
    <row r="22">
      <c r="B22" s="23" t="n"/>
      <c r="C22" s="25" t="n"/>
      <c r="D22" s="23" t="n"/>
    </row>
    <row r="23">
      <c r="B23" s="48" t="n"/>
      <c r="C23" s="52" t="n"/>
      <c r="D23" s="48" t="n"/>
    </row>
    <row r="24">
      <c r="B24" s="23" t="n"/>
      <c r="C24" s="25" t="n"/>
      <c r="D24" s="23" t="n"/>
    </row>
    <row r="25">
      <c r="B25" s="48" t="n"/>
      <c r="C25" s="52" t="n"/>
      <c r="D25" s="48" t="n"/>
    </row>
    <row r="26">
      <c r="B26" s="23" t="n"/>
      <c r="C26" s="25" t="n"/>
      <c r="D26" s="23" t="n"/>
    </row>
    <row r="27">
      <c r="B27" s="48" t="n"/>
      <c r="C27" s="52" t="n"/>
      <c r="D27" s="48" t="n"/>
    </row>
    <row r="28">
      <c r="B28" s="23" t="n"/>
      <c r="C28" s="25" t="n"/>
      <c r="D28" s="23" t="n"/>
    </row>
  </sheetData>
  <mergeCells count="2">
    <mergeCell ref="A1:D1"/>
    <mergeCell ref="A2:D2"/>
  </mergeCells>
  <dataValidations count="1">
    <dataValidation sqref="C5:C28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🚗  MILEAGE &amp; TRAVEL</t>
        </is>
      </c>
    </row>
    <row r="2" ht="22" customHeight="1">
      <c r="A2" s="2" t="inlineStr">
        <is>
          <t xml:space="preserve">  Every drive to a client — miles and cost, for pricing and for taxes.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Day</t>
        </is>
      </c>
      <c r="C4" s="9" t="inlineStr">
        <is>
          <t>Client</t>
        </is>
      </c>
      <c r="D4" s="9" t="inlineStr">
        <is>
          <t>Miles</t>
        </is>
      </c>
      <c r="E4" s="9" t="inlineStr">
        <is>
          <t>Cost</t>
        </is>
      </c>
    </row>
    <row r="5">
      <c r="B5" s="48" t="inlineStr">
        <is>
          <t>Fri</t>
        </is>
      </c>
      <c r="C5" s="48" t="inlineStr">
        <is>
          <t>Anderson Family</t>
        </is>
      </c>
      <c r="D5" s="53" t="n">
        <v>24</v>
      </c>
      <c r="E5" s="49" t="n">
        <v>16.08</v>
      </c>
    </row>
    <row r="6">
      <c r="B6" s="23" t="inlineStr">
        <is>
          <t>Sat</t>
        </is>
      </c>
      <c r="C6" s="23" t="inlineStr">
        <is>
          <t>Ruiz (party)</t>
        </is>
      </c>
      <c r="D6" s="54" t="n">
        <v>38</v>
      </c>
      <c r="E6" s="50" t="n">
        <v>25.46</v>
      </c>
    </row>
    <row r="7">
      <c r="B7" s="48" t="inlineStr">
        <is>
          <t>Sun</t>
        </is>
      </c>
      <c r="C7" s="48" t="inlineStr">
        <is>
          <t>Chen</t>
        </is>
      </c>
      <c r="D7" s="53" t="n">
        <v>12</v>
      </c>
      <c r="E7" s="49" t="n">
        <v>8.039999999999999</v>
      </c>
    </row>
    <row r="8">
      <c r="B8" s="23" t="inlineStr">
        <is>
          <t>Tue</t>
        </is>
      </c>
      <c r="C8" s="23" t="inlineStr">
        <is>
          <t>Okoro</t>
        </is>
      </c>
      <c r="D8" s="54" t="n">
        <v>18</v>
      </c>
      <c r="E8" s="50" t="n">
        <v>12.06</v>
      </c>
    </row>
    <row r="9">
      <c r="B9" s="48" t="inlineStr">
        <is>
          <t>Thu</t>
        </is>
      </c>
      <c r="C9" s="48" t="inlineStr">
        <is>
          <t>Bello</t>
        </is>
      </c>
      <c r="D9" s="53" t="n">
        <v>24</v>
      </c>
      <c r="E9" s="49" t="n">
        <v>16.08</v>
      </c>
    </row>
    <row r="10">
      <c r="B10" s="23" t="n"/>
      <c r="C10" s="23" t="n"/>
      <c r="D10" s="54" t="n"/>
      <c r="E10" s="50" t="n"/>
    </row>
    <row r="11">
      <c r="B11" s="48" t="n"/>
      <c r="C11" s="48" t="n"/>
      <c r="D11" s="53" t="n"/>
      <c r="E11" s="49" t="n"/>
    </row>
    <row r="12">
      <c r="B12" s="23" t="n"/>
      <c r="C12" s="23" t="n"/>
      <c r="D12" s="54" t="n"/>
      <c r="E12" s="50" t="n"/>
    </row>
    <row r="13">
      <c r="B13" s="48" t="n"/>
      <c r="C13" s="48" t="n"/>
      <c r="D13" s="53" t="n"/>
      <c r="E13" s="49" t="n"/>
    </row>
    <row r="14">
      <c r="B14" s="23" t="n"/>
      <c r="C14" s="23" t="n"/>
      <c r="D14" s="54" t="n"/>
      <c r="E14" s="50" t="n"/>
    </row>
    <row r="15">
      <c r="B15" s="48" t="n"/>
      <c r="C15" s="48" t="n"/>
      <c r="D15" s="53" t="n"/>
      <c r="E15" s="49" t="n"/>
    </row>
    <row r="16">
      <c r="B16" s="23" t="n"/>
      <c r="C16" s="23" t="n"/>
      <c r="D16" s="54" t="n"/>
      <c r="E16" s="50" t="n"/>
    </row>
    <row r="17">
      <c r="B17" s="48" t="n"/>
      <c r="C17" s="48" t="n"/>
      <c r="D17" s="53" t="n"/>
      <c r="E17" s="49" t="n"/>
    </row>
    <row r="18">
      <c r="B18" s="23" t="n"/>
      <c r="C18" s="23" t="n"/>
      <c r="D18" s="54" t="n"/>
      <c r="E18" s="50" t="n"/>
    </row>
    <row r="19">
      <c r="B19" s="48" t="n"/>
      <c r="C19" s="48" t="n"/>
      <c r="D19" s="53" t="n"/>
      <c r="E19" s="49" t="n"/>
    </row>
    <row r="20">
      <c r="B20" s="23" t="n"/>
      <c r="C20" s="23" t="n"/>
      <c r="D20" s="54" t="n"/>
      <c r="E20" s="50" t="n"/>
    </row>
    <row r="21">
      <c r="B21" s="48" t="n"/>
      <c r="C21" s="48" t="n"/>
      <c r="D21" s="53" t="n"/>
      <c r="E21" s="49" t="n"/>
    </row>
    <row r="22">
      <c r="B22" s="23" t="n"/>
      <c r="C22" s="23" t="n"/>
      <c r="D22" s="54" t="n"/>
      <c r="E22" s="50" t="n"/>
    </row>
    <row r="23">
      <c r="B23" s="48" t="n"/>
      <c r="C23" s="48" t="n"/>
      <c r="D23" s="53" t="n"/>
      <c r="E23" s="49" t="n"/>
    </row>
    <row r="24">
      <c r="B24" s="23" t="n"/>
      <c r="C24" s="23" t="n"/>
      <c r="D24" s="54" t="n"/>
      <c r="E24" s="50" t="n"/>
    </row>
    <row r="25">
      <c r="B25" s="48" t="n"/>
      <c r="C25" s="48" t="n"/>
      <c r="D25" s="53" t="n"/>
      <c r="E25" s="49" t="n"/>
    </row>
    <row r="26">
      <c r="B26" s="23" t="n"/>
      <c r="C26" s="23" t="n"/>
      <c r="D26" s="54" t="n"/>
      <c r="E26" s="50" t="n"/>
    </row>
    <row r="27">
      <c r="B27" s="48" t="n"/>
      <c r="C27" s="48" t="n"/>
      <c r="D27" s="53" t="n"/>
      <c r="E27" s="49" t="n"/>
    </row>
    <row r="28">
      <c r="B28" s="23" t="n"/>
      <c r="C28" s="23" t="n"/>
      <c r="D28" s="54" t="n"/>
      <c r="E28" s="50" t="n"/>
    </row>
    <row r="29">
      <c r="B29" s="9" t="inlineStr">
        <is>
          <t>TOTAL</t>
        </is>
      </c>
      <c r="C29" s="43" t="n"/>
      <c r="D29" s="43" t="n"/>
      <c r="E29" s="51">
        <f>SUM(MileCost)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4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🗑  WASTE LOG</t>
        </is>
      </c>
    </row>
    <row r="2" ht="22" customHeight="1">
      <c r="A2" s="2" t="inlineStr">
        <is>
          <t xml:space="preserve">  Over-shopping, spoilage &amp; recipe testing — the leaks that eat your margin.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Reason</t>
        </is>
      </c>
      <c r="D4" s="9" t="inlineStr">
        <is>
          <t>Cost</t>
        </is>
      </c>
    </row>
    <row r="5">
      <c r="B5" s="48" t="inlineStr">
        <is>
          <t>Over-shopping</t>
        </is>
      </c>
      <c r="C5" s="48" t="inlineStr">
        <is>
          <t>Guest count dropped</t>
        </is>
      </c>
      <c r="D5" s="49" t="n">
        <v>60</v>
      </c>
    </row>
    <row r="6">
      <c r="B6" s="23" t="inlineStr">
        <is>
          <t>Spoiled produce</t>
        </is>
      </c>
      <c r="C6" s="23" t="inlineStr">
        <is>
          <t>Menu change</t>
        </is>
      </c>
      <c r="D6" s="50" t="n">
        <v>45</v>
      </c>
    </row>
    <row r="7">
      <c r="B7" s="48" t="inlineStr">
        <is>
          <t>Recipe testing</t>
        </is>
      </c>
      <c r="C7" s="48" t="inlineStr">
        <is>
          <t>New dish trial</t>
        </is>
      </c>
      <c r="D7" s="49" t="n">
        <v>38</v>
      </c>
    </row>
    <row r="8">
      <c r="B8" s="23" t="n"/>
      <c r="C8" s="23" t="n"/>
      <c r="D8" s="50" t="n"/>
    </row>
    <row r="9">
      <c r="B9" s="48" t="n"/>
      <c r="C9" s="48" t="n"/>
      <c r="D9" s="49" t="n"/>
    </row>
    <row r="10">
      <c r="B10" s="23" t="n"/>
      <c r="C10" s="23" t="n"/>
      <c r="D10" s="50" t="n"/>
    </row>
    <row r="11">
      <c r="B11" s="48" t="n"/>
      <c r="C11" s="48" t="n"/>
      <c r="D11" s="49" t="n"/>
    </row>
    <row r="12">
      <c r="B12" s="23" t="n"/>
      <c r="C12" s="23" t="n"/>
      <c r="D12" s="50" t="n"/>
    </row>
    <row r="13">
      <c r="B13" s="48" t="n"/>
      <c r="C13" s="48" t="n"/>
      <c r="D13" s="49" t="n"/>
    </row>
    <row r="14">
      <c r="B14" s="23" t="n"/>
      <c r="C14" s="23" t="n"/>
      <c r="D14" s="50" t="n"/>
    </row>
    <row r="15">
      <c r="B15" s="48" t="n"/>
      <c r="C15" s="48" t="n"/>
      <c r="D15" s="49" t="n"/>
    </row>
    <row r="16">
      <c r="B16" s="23" t="n"/>
      <c r="C16" s="23" t="n"/>
      <c r="D16" s="50" t="n"/>
    </row>
    <row r="17">
      <c r="B17" s="48" t="n"/>
      <c r="C17" s="48" t="n"/>
      <c r="D17" s="49" t="n"/>
    </row>
    <row r="18">
      <c r="B18" s="23" t="n"/>
      <c r="C18" s="23" t="n"/>
      <c r="D18" s="50" t="n"/>
    </row>
    <row r="19">
      <c r="B19" s="48" t="n"/>
      <c r="C19" s="48" t="n"/>
      <c r="D19" s="49" t="n"/>
    </row>
    <row r="20">
      <c r="B20" s="23" t="n"/>
      <c r="C20" s="23" t="n"/>
      <c r="D20" s="50" t="n"/>
    </row>
    <row r="21">
      <c r="B21" s="48" t="n"/>
      <c r="C21" s="48" t="n"/>
      <c r="D21" s="49" t="n"/>
    </row>
    <row r="22">
      <c r="B22" s="23" t="n"/>
      <c r="C22" s="23" t="n"/>
      <c r="D22" s="50" t="n"/>
    </row>
    <row r="23">
      <c r="B23" s="48" t="n"/>
      <c r="C23" s="48" t="n"/>
      <c r="D23" s="49" t="n"/>
    </row>
    <row r="24">
      <c r="B24" s="23" t="n"/>
      <c r="C24" s="23" t="n"/>
      <c r="D24" s="50" t="n"/>
    </row>
    <row r="25">
      <c r="B25" s="48" t="n"/>
      <c r="C25" s="48" t="n"/>
      <c r="D25" s="49" t="n"/>
    </row>
    <row r="26">
      <c r="B26" s="23" t="n"/>
      <c r="C26" s="23" t="n"/>
      <c r="D26" s="50" t="n"/>
    </row>
    <row r="27">
      <c r="B27" s="48" t="n"/>
      <c r="C27" s="48" t="n"/>
      <c r="D27" s="49" t="n"/>
    </row>
    <row r="28">
      <c r="B28" s="23" t="n"/>
      <c r="C28" s="23" t="n"/>
      <c r="D28" s="50" t="n"/>
    </row>
    <row r="29">
      <c r="B29" s="9" t="inlineStr">
        <is>
          <t>TOTAL WASTE</t>
        </is>
      </c>
      <c r="C29" s="43" t="n"/>
      <c r="D29" s="55">
        <f>SUM(WasteCost)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💰  INCOME &amp; EXPENSES</t>
        </is>
      </c>
    </row>
    <row r="2" ht="22" customHeight="1">
      <c r="A2" s="2" t="inlineStr">
        <is>
          <t xml:space="preserve">  Monthly books — client revenue in, costs out, and the profit that's really yours.</t>
        </is>
      </c>
    </row>
    <row r="3" ht="6" customHeight="1">
      <c r="A3" s="3" t="n"/>
      <c r="B3" s="3" t="n"/>
      <c r="C3" s="3" t="n"/>
    </row>
    <row r="5">
      <c r="B5" s="4" t="inlineStr">
        <is>
          <t>INCOME</t>
        </is>
      </c>
    </row>
    <row r="6">
      <c r="B6" s="20" t="inlineStr">
        <is>
          <t>Monthly client revenue</t>
        </is>
      </c>
      <c r="C6" s="45">
        <f>MonthlyRev</f>
        <v/>
      </c>
    </row>
    <row r="8">
      <c r="B8" s="4" t="inlineStr">
        <is>
          <t>EXPENSES</t>
        </is>
      </c>
    </row>
    <row r="9" ht="30" customHeight="1">
      <c r="B9" s="9" t="inlineStr">
        <is>
          <t>Expense</t>
        </is>
      </c>
      <c r="C9" s="9" t="inlineStr">
        <is>
          <t>Amount</t>
        </is>
      </c>
    </row>
    <row r="10">
      <c r="B10" s="20" t="inlineStr">
        <is>
          <t>Groceries &amp; food</t>
        </is>
      </c>
      <c r="C10" s="32" t="n">
        <v>1700</v>
      </c>
    </row>
    <row r="11">
      <c r="B11" s="23" t="inlineStr">
        <is>
          <t>Mileage &amp; travel</t>
        </is>
      </c>
      <c r="C11" s="40" t="n">
        <v>360</v>
      </c>
    </row>
    <row r="12">
      <c r="B12" s="20" t="inlineStr">
        <is>
          <t>Insurance &amp; licenses</t>
        </is>
      </c>
      <c r="C12" s="32" t="n">
        <v>180</v>
      </c>
    </row>
    <row r="13">
      <c r="B13" s="23" t="inlineStr">
        <is>
          <t>Equipment &amp; supplies</t>
        </is>
      </c>
      <c r="C13" s="40" t="n">
        <v>220</v>
      </c>
    </row>
    <row r="14">
      <c r="B14" s="20" t="inlineStr">
        <is>
          <t>Marketing</t>
        </is>
      </c>
      <c r="C14" s="32" t="n">
        <v>150</v>
      </c>
    </row>
    <row r="15">
      <c r="B15" s="9" t="inlineStr">
        <is>
          <t>TOTAL EXPENSES</t>
        </is>
      </c>
      <c r="C15" s="56">
        <f>SUM(ExpAmt)</f>
        <v/>
      </c>
    </row>
    <row r="17">
      <c r="B17" s="9">
        <f> MONTHLY PROFIT</f>
        <v/>
      </c>
      <c r="C17" s="57">
        <f>TotalIncome-ExpTotal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📈  MONTHLY SUMMARY</t>
        </is>
      </c>
    </row>
    <row r="2" ht="22" customHeight="1">
      <c r="A2" s="2" t="inlineStr">
        <is>
          <t xml:space="preserve">  Revenue, expenses &amp; profit by month — watch the season build.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Month</t>
        </is>
      </c>
      <c r="C4" s="9" t="inlineStr">
        <is>
          <t>Revenue</t>
        </is>
      </c>
      <c r="D4" s="9" t="inlineStr">
        <is>
          <t>Expenses</t>
        </is>
      </c>
      <c r="E4" s="9" t="inlineStr">
        <is>
          <t>Profit</t>
        </is>
      </c>
    </row>
    <row r="5">
      <c r="B5" s="20" t="inlineStr">
        <is>
          <t>Jul</t>
        </is>
      </c>
      <c r="C5" s="32" t="n">
        <v>4800</v>
      </c>
      <c r="D5" s="32" t="n">
        <v>2300</v>
      </c>
      <c r="E5" s="41">
        <f>C5-D5</f>
        <v/>
      </c>
    </row>
    <row r="6">
      <c r="B6" s="23" t="inlineStr">
        <is>
          <t>Aug</t>
        </is>
      </c>
      <c r="C6" s="40" t="n">
        <v>5200</v>
      </c>
      <c r="D6" s="40" t="n">
        <v>2450</v>
      </c>
      <c r="E6" s="42">
        <f>C6-D6</f>
        <v/>
      </c>
    </row>
    <row r="7">
      <c r="B7" s="20" t="inlineStr">
        <is>
          <t>Sep</t>
        </is>
      </c>
      <c r="C7" s="32" t="n">
        <v>5950</v>
      </c>
      <c r="D7" s="32" t="n">
        <v>2610</v>
      </c>
      <c r="E7" s="41">
        <f>C7-D7</f>
        <v/>
      </c>
    </row>
    <row r="8">
      <c r="B8" s="23" t="inlineStr">
        <is>
          <t>Oct</t>
        </is>
      </c>
      <c r="C8" s="40" t="n">
        <v>6400</v>
      </c>
      <c r="D8" s="40" t="n">
        <v>2760</v>
      </c>
      <c r="E8" s="42">
        <f>C8-D8</f>
        <v/>
      </c>
    </row>
    <row r="9">
      <c r="B9" s="20" t="inlineStr">
        <is>
          <t>Nov</t>
        </is>
      </c>
      <c r="C9" s="32" t="n">
        <v>7100</v>
      </c>
      <c r="D9" s="32" t="n">
        <v>2980</v>
      </c>
      <c r="E9" s="41">
        <f>C9-D9</f>
        <v/>
      </c>
    </row>
    <row r="10">
      <c r="B10" s="23" t="inlineStr">
        <is>
          <t>Dec</t>
        </is>
      </c>
      <c r="C10" s="40" t="n">
        <v>8200</v>
      </c>
      <c r="D10" s="40" t="n">
        <v>3300</v>
      </c>
      <c r="E10" s="42">
        <f>C10-D10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TARGETS</t>
        </is>
      </c>
      <c r="E5" s="4" t="inlineStr">
        <is>
          <t>DROPDOWN LISTS</t>
        </is>
      </c>
    </row>
    <row r="6">
      <c r="B6" s="27" t="inlineStr">
        <is>
          <t>Business name</t>
        </is>
      </c>
      <c r="C6" s="58" t="inlineStr">
        <is>
          <t>Chef's Table Co.</t>
        </is>
      </c>
      <c r="E6" s="9" t="inlineStr">
        <is>
          <t>Basis</t>
        </is>
      </c>
      <c r="F6" s="9" t="inlineStr">
        <is>
          <t>Service</t>
        </is>
      </c>
      <c r="G6" s="9" t="inlineStr">
        <is>
          <t>Status</t>
        </is>
      </c>
      <c r="H6" s="9" t="inlineStr">
        <is>
          <t>Yes / No</t>
        </is>
      </c>
    </row>
    <row r="7">
      <c r="B7" s="27" t="inlineStr">
        <is>
          <t>Chef</t>
        </is>
      </c>
      <c r="C7" s="58" t="inlineStr">
        <is>
          <t>Rowan</t>
        </is>
      </c>
      <c r="E7" s="20" t="inlineStr">
        <is>
          <t>per guest</t>
        </is>
      </c>
      <c r="F7" s="20" t="inlineStr">
        <is>
          <t>Private dinner</t>
        </is>
      </c>
      <c r="G7" s="20" t="inlineStr">
        <is>
          <t>Booked</t>
        </is>
      </c>
      <c r="H7" s="20" t="inlineStr">
        <is>
          <t>Yes</t>
        </is>
      </c>
    </row>
    <row r="8">
      <c r="B8" s="27" t="inlineStr">
        <is>
          <t>Target food-cost %</t>
        </is>
      </c>
      <c r="C8" s="59" t="n">
        <v>0.3</v>
      </c>
      <c r="E8" s="20" t="inlineStr">
        <is>
          <t>flat rate</t>
        </is>
      </c>
      <c r="F8" s="20" t="inlineStr">
        <is>
          <t>Dinner party</t>
        </is>
      </c>
      <c r="G8" s="20" t="inlineStr">
        <is>
          <t>Enquiry</t>
        </is>
      </c>
      <c r="H8" s="20" t="inlineStr">
        <is>
          <t>No</t>
        </is>
      </c>
    </row>
    <row r="9">
      <c r="B9" s="27" t="inlineStr">
        <is>
          <t>Margin goal %</t>
        </is>
      </c>
      <c r="C9" s="59" t="n">
        <v>0.55</v>
      </c>
      <c r="E9" s="20" t="inlineStr">
        <is>
          <t>per hour</t>
        </is>
      </c>
      <c r="F9" s="20" t="inlineStr">
        <is>
          <t>Meal prep</t>
        </is>
      </c>
      <c r="G9" s="20" t="inlineStr">
        <is>
          <t>Confirmed</t>
        </is>
      </c>
    </row>
    <row r="10">
      <c r="B10" s="27" t="inlineStr">
        <is>
          <t>Client goal</t>
        </is>
      </c>
      <c r="C10" s="28" t="n">
        <v>5</v>
      </c>
      <c r="F10" s="20" t="inlineStr">
        <is>
          <t>Date night</t>
        </is>
      </c>
      <c r="G10" s="20" t="inlineStr">
        <is>
          <t>Done</t>
        </is>
      </c>
    </row>
    <row r="11">
      <c r="B11" s="27" t="inlineStr">
        <is>
          <t>Monthly profit goal</t>
        </is>
      </c>
      <c r="C11" s="32" t="n">
        <v>3000</v>
      </c>
      <c r="F11" s="20" t="inlineStr">
        <is>
          <t>Event</t>
        </is>
      </c>
      <c r="G11" s="20" t="inlineStr">
        <is>
          <t>Cancelled</t>
        </is>
      </c>
    </row>
    <row r="12">
      <c r="B12" s="27" t="inlineStr">
        <is>
          <t>Waste limit %</t>
        </is>
      </c>
      <c r="C12" s="59" t="n">
        <v>0.04</v>
      </c>
      <c r="F12" s="20" t="inlineStr">
        <is>
          <t>Consult</t>
        </is>
      </c>
    </row>
    <row r="13">
      <c r="B13" s="27" t="inlineStr">
        <is>
          <t>Mileage rate ($/mi)</t>
        </is>
      </c>
      <c r="C13" s="29" t="n">
        <v>0.67</v>
      </c>
    </row>
    <row r="14">
      <c r="B14" s="27" t="inlineStr">
        <is>
          <t>Currency</t>
        </is>
      </c>
      <c r="C14" s="58" t="inlineStr">
        <is>
          <t>USD ($)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2026-07-22T18:58:09Z</dcterms:created>
  <dcterms:modified xsi:type="dcterms:W3CDTF">2026-07-22T18:58:09Z</dcterms:modified>
</cp:coreProperties>
</file>